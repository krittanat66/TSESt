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SHBOARD" sheetId="1" state="visible" r:id="rId1"/>
    <sheet name="02_MONTHLY" sheetId="2" state="visible" r:id="rId2"/>
    <sheet name="03_ACCOUNTS" sheetId="3" state="visible" r:id="rId3"/>
    <sheet name="04_TRANSACTIONS" sheetId="4" state="visible" r:id="rId4"/>
    <sheet name="05_CATEGORIES" sheetId="5" state="visible" r:id="rId5"/>
    <sheet name="06_INVESTMENT" sheetId="6" state="visible" r:id="rId6"/>
    <sheet name="07_INVESTMENT_TX" sheetId="7" state="visible" r:id="rId7"/>
    <sheet name="08_DCA_PLAN" sheetId="8" state="visible" r:id="rId8"/>
    <sheet name="09_PVD" sheetId="9" state="visible" r:id="rId9"/>
    <sheet name="10_BUDGET" sheetId="10" state="visible" r:id="rId10"/>
    <sheet name="11_TAX" sheetId="11" state="visible" r:id="rId11"/>
    <sheet name="12_FX" sheetId="12" state="visible" r:id="rId12"/>
    <sheet name="13_DEBT" sheetId="13" state="visible" r:id="rId13"/>
    <sheet name="14_NET_WORTH" sheetId="14" state="visible" r:id="rId14"/>
    <sheet name="15_FORECAST" sheetId="15" state="visible" r:id="rId15"/>
    <sheet name="16_INBOX" sheetId="16" state="visible" r:id="rId16"/>
    <sheet name="17_SETTINGS" sheetId="17" state="visible" r:id="rId17"/>
    <sheet name="18_VALIDATION_LOG" sheetId="18" state="visible" r:id="rId18"/>
    <sheet name="19_PRICE_FEED" sheetId="19" state="visible" r:id="rId19"/>
    <sheet name="_LISTS" sheetId="20" state="hidden" r:id="rId20"/>
  </sheets>
  <definedNames>
    <definedName name="_xlnm.Print_Area" localSheetId="0">'01_DASHBOARD'!$B$2:$N$114</definedName>
    <definedName name="_xlnm._FilterDatabase" localSheetId="3" hidden="1">'04_TRANSACTIONS'!$B$5:$X$269</definedName>
    <definedName name="_xlnm._FilterDatabase" localSheetId="6" hidden="1">'07_INVESTMENT_TX'!$B$5:$P$222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yyyy-mm-dd"/>
    <numFmt numFmtId="165" formatCode="#,##0.0000"/>
    <numFmt numFmtId="166" formatCode="฿#,##0.00;[Red]-฿#,##0.00"/>
    <numFmt numFmtId="167" formatCode="$#,##0.00;[Red]-$#,##0.00"/>
    <numFmt numFmtId="168" formatCode="$#,##0.0000"/>
    <numFmt numFmtId="169" formatCode="#,##0.000000"/>
    <numFmt numFmtId="170" formatCode="0.0%;[Red]-0.0%"/>
    <numFmt numFmtId="171" formatCode="mmm yyyy"/>
    <numFmt numFmtId="172" formatCode="฿#,##0;[Red]-฿#,##0"/>
    <numFmt numFmtId="173" formatCode="mmmm yyyy"/>
    <numFmt numFmtId="174" formatCode="+฿#,##0;[Red]-฿#,##0"/>
    <numFmt numFmtId="175" formatCode="+0.0%;[Red]-0.0%"/>
  </numFmts>
  <fonts count="44">
    <font>
      <name val="Calibri"/>
      <family val="2"/>
      <color theme="1"/>
      <sz val="11"/>
      <scheme val="minor"/>
    </font>
    <font>
      <name val="Tahoma"/>
      <b val="1"/>
      <color rgb="001A1D23"/>
      <sz val="9"/>
    </font>
    <font>
      <name val="Tahoma"/>
      <b val="1"/>
      <color rgb="001A1D23"/>
      <sz val="16"/>
    </font>
    <font>
      <name val="Tahoma"/>
      <color rgb="006B7280"/>
      <sz val="9"/>
    </font>
    <font>
      <name val="Tahoma"/>
      <b val="1"/>
      <color rgb="00FFFFFF"/>
      <sz val="9"/>
    </font>
    <font>
      <name val="Tahoma"/>
      <b val="1"/>
      <color rgb="000B3B8C"/>
      <sz val="9"/>
    </font>
    <font>
      <name val="Tahoma"/>
      <b val="1"/>
      <color rgb="001A1D23"/>
      <sz val="11"/>
    </font>
    <font>
      <name val="Tahoma"/>
      <color rgb="001A1D23"/>
      <sz val="9"/>
    </font>
    <font>
      <name val="Tahoma"/>
      <b val="1"/>
      <color rgb="00DC2626"/>
      <sz val="9"/>
    </font>
    <font>
      <name val="Tahoma"/>
      <color rgb="00D97706"/>
      <sz val="9"/>
    </font>
    <font>
      <name val="Tahoma"/>
      <b val="1"/>
      <color rgb="001A1D23"/>
      <sz val="10"/>
    </font>
    <font>
      <name val="Tahoma"/>
      <b val="1"/>
      <color rgb="000B3B8C"/>
      <sz val="13"/>
    </font>
    <font>
      <name val="Tahoma"/>
      <b val="1"/>
      <color rgb="0016A34A"/>
      <sz val="13"/>
    </font>
    <font>
      <name val="Tahoma"/>
      <b val="1"/>
      <color rgb="000B3B8C"/>
      <sz val="12"/>
    </font>
    <font>
      <name val="Tahoma"/>
      <b val="1"/>
      <color rgb="000B3B8C"/>
      <sz val="11"/>
    </font>
    <font>
      <name val="Consolas"/>
      <color rgb="000B3B8C"/>
      <sz val="9"/>
    </font>
    <font>
      <name val="Tahoma"/>
      <color rgb="006B7280"/>
      <sz val="8"/>
    </font>
    <font>
      <name val="Tahoma"/>
      <b val="1"/>
      <color rgb="00DC2626"/>
      <sz val="10"/>
    </font>
    <font>
      <name val="Tahoma"/>
      <color rgb="000B3B8C"/>
      <sz val="8"/>
    </font>
    <font>
      <name val="Tahoma"/>
      <b val="1"/>
      <color rgb="00D97706"/>
      <sz val="9"/>
    </font>
    <font>
      <name val="Tahoma"/>
      <color rgb="00D97706"/>
      <sz val="8"/>
    </font>
    <font>
      <name val="Tahoma"/>
      <b val="1"/>
      <color rgb="0016A34A"/>
      <sz val="9"/>
    </font>
    <font>
      <name val="Tahoma"/>
      <b val="1"/>
      <color rgb="0016A34A"/>
      <sz val="12"/>
    </font>
    <font>
      <name val="Tahoma"/>
      <b val="1"/>
      <color rgb="000B3B8C"/>
      <sz val="10"/>
    </font>
    <font>
      <name val="Tahoma"/>
      <b val="1"/>
      <color rgb="001A1D23"/>
      <sz val="8"/>
    </font>
    <font>
      <name val="Tahoma"/>
      <b val="1"/>
      <color rgb="00D97706"/>
      <sz val="10"/>
    </font>
    <font>
      <name val="Tahoma"/>
      <b val="1"/>
      <color rgb="00FFFFFF"/>
      <sz val="24"/>
    </font>
    <font>
      <name val="Tahoma"/>
      <color rgb="00C9D8F0"/>
      <sz val="9"/>
    </font>
    <font>
      <name val="Tahoma"/>
      <b val="1"/>
      <color rgb="00FFFFFF"/>
      <sz val="10"/>
    </font>
    <font>
      <name val="Tahoma"/>
      <b val="1"/>
      <color rgb="006B7280"/>
      <sz val="8"/>
    </font>
    <font>
      <name val="Tahoma"/>
      <b val="1"/>
      <color rgb="000B3B8C"/>
      <sz val="22"/>
    </font>
    <font>
      <name val="Tahoma"/>
      <b val="1"/>
      <color rgb="001A1D23"/>
      <sz val="18"/>
    </font>
    <font>
      <name val="Tahoma"/>
      <b val="1"/>
      <color rgb="0016A34A"/>
      <sz val="18"/>
    </font>
    <font>
      <name val="Tahoma"/>
      <color rgb="0016A34A"/>
      <sz val="8"/>
    </font>
    <font>
      <name val="Tahoma"/>
      <b val="1"/>
      <color rgb="000B3B8C"/>
      <sz val="26"/>
    </font>
    <font>
      <name val="Tahoma"/>
      <b val="1"/>
      <color rgb="0016A34A"/>
      <sz val="11"/>
    </font>
    <font>
      <name val="Tahoma"/>
      <b val="1"/>
      <color rgb="006B7280"/>
      <sz val="9"/>
    </font>
    <font>
      <name val="Tahoma"/>
      <b val="1"/>
      <color rgb="000B3B8C"/>
      <sz val="24"/>
    </font>
    <font>
      <name val="Tahoma"/>
      <b val="1"/>
      <color rgb="006B7280"/>
      <sz val="12"/>
    </font>
    <font>
      <name val="Tahoma"/>
      <b val="1"/>
      <color rgb="000B3B8C"/>
      <sz val="16"/>
    </font>
    <font>
      <name val="Tahoma"/>
      <b val="1"/>
      <color rgb="000B3B8C"/>
      <sz val="18"/>
    </font>
    <font>
      <name val="Tahoma"/>
      <b val="1"/>
      <color rgb="0016A34A"/>
      <sz val="10"/>
    </font>
    <font>
      <name val="Tahoma"/>
      <b val="1"/>
      <color rgb="00D97706"/>
      <sz val="8"/>
    </font>
    <font>
      <name val="Tahoma"/>
      <b val="1"/>
      <color rgb="0016A34A"/>
      <sz val="14"/>
    </font>
  </fonts>
  <fills count="12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DF3E2"/>
      </patternFill>
    </fill>
    <fill>
      <patternFill patternType="solid">
        <fgColor rgb="00EEF3FB"/>
      </patternFill>
    </fill>
    <fill>
      <patternFill patternType="solid">
        <fgColor rgb="00E7F6EC"/>
      </patternFill>
    </fill>
    <fill>
      <patternFill patternType="solid">
        <fgColor rgb="00F0FAF3"/>
      </patternFill>
    </fill>
    <fill>
      <patternFill patternType="solid">
        <fgColor rgb="00F2F5FA"/>
      </patternFill>
    </fill>
    <fill>
      <patternFill patternType="solid">
        <fgColor rgb="00FCEBEC"/>
      </patternFill>
    </fill>
    <fill>
      <patternFill patternType="solid">
        <fgColor rgb="00EFF1F3"/>
      </patternFill>
    </fill>
    <fill>
      <patternFill patternType="solid">
        <fgColor rgb="000B3B8C"/>
      </patternFill>
    </fill>
    <fill>
      <patternFill patternType="solid">
        <fgColor rgb="00FFFFFF"/>
      </patternFill>
    </fill>
  </fills>
  <borders count="60">
    <border>
      <left/>
      <right/>
      <top/>
      <bottom/>
      <diagonal/>
    </border>
    <border>
      <left style="thin">
        <color rgb="002A3342"/>
      </left>
      <right style="thin">
        <color rgb="002A3342"/>
      </right>
      <top style="thin">
        <color rgb="002A3342"/>
      </top>
      <bottom style="thin">
        <color rgb="002A3342"/>
      </bottom>
    </border>
    <border>
      <left style="thin">
        <color rgb="00E3E6EA"/>
      </left>
      <right style="thin">
        <color rgb="00E3E6EA"/>
      </right>
      <top style="thin">
        <color rgb="00E3E6EA"/>
      </top>
      <bottom style="thin">
        <color rgb="00E3E6EA"/>
      </bottom>
    </border>
    <border>
      <left style="thin">
        <color rgb="000B3B8C"/>
      </left>
      <top style="thin">
        <color rgb="000B3B8C"/>
      </top>
    </border>
    <border>
      <top style="thin">
        <color rgb="000B3B8C"/>
      </top>
    </border>
    <border>
      <right style="thin">
        <color rgb="000B3B8C"/>
      </right>
      <top style="thin">
        <color rgb="000B3B8C"/>
      </top>
    </border>
    <border>
      <left style="thin">
        <color rgb="000B3B8C"/>
      </left>
    </border>
    <border/>
    <border>
      <right style="thin">
        <color rgb="000B3B8C"/>
      </right>
    </border>
    <border>
      <left style="thin">
        <color rgb="000B3B8C"/>
      </left>
      <bottom style="thin">
        <color rgb="000B3B8C"/>
      </bottom>
    </border>
    <border>
      <bottom style="thin">
        <color rgb="000B3B8C"/>
      </bottom>
    </border>
    <border>
      <right style="thin">
        <color rgb="000B3B8C"/>
      </right>
      <bottom style="thin">
        <color rgb="000B3B8C"/>
      </bottom>
    </border>
    <border>
      <left/>
      <right/>
      <top style="thin">
        <color rgb="000B3B8C"/>
      </top>
      <bottom/>
      <diagonal/>
    </border>
    <border>
      <left/>
      <right/>
      <top/>
      <bottom style="thin">
        <color rgb="000B3B8C"/>
      </bottom>
      <diagonal/>
    </border>
    <border>
      <left/>
      <right style="thin">
        <color rgb="000B3B8C"/>
      </right>
      <top style="thin">
        <color rgb="000B3B8C"/>
      </top>
      <bottom/>
      <diagonal/>
    </border>
    <border>
      <left/>
      <right style="thin">
        <color rgb="000B3B8C"/>
      </right>
      <top/>
      <bottom/>
      <diagonal/>
    </border>
    <border>
      <left style="thin">
        <color rgb="00E3E6EA"/>
      </left>
      <top style="thin">
        <color rgb="00E3E6EA"/>
      </top>
    </border>
    <border>
      <top style="thin">
        <color rgb="00E3E6EA"/>
      </top>
    </border>
    <border>
      <right style="thin">
        <color rgb="00E3E6EA"/>
      </right>
      <top style="thin">
        <color rgb="00E3E6EA"/>
      </top>
    </border>
    <border>
      <left style="thin">
        <color rgb="00E3E6EA"/>
      </left>
    </border>
    <border>
      <right style="thin">
        <color rgb="00E3E6EA"/>
      </right>
    </border>
    <border>
      <left style="thin">
        <color rgb="00E3E6EA"/>
      </left>
      <bottom style="thin">
        <color rgb="00E3E6EA"/>
      </bottom>
    </border>
    <border>
      <bottom style="thin">
        <color rgb="00E3E6EA"/>
      </bottom>
    </border>
    <border>
      <right style="thin">
        <color rgb="00E3E6EA"/>
      </right>
      <bottom style="thin">
        <color rgb="00E3E6EA"/>
      </bottom>
    </border>
    <border>
      <left style="thin">
        <color rgb="00E3E6EA"/>
      </left>
      <right style="thin">
        <color rgb="00E3E6EA"/>
      </right>
      <top style="thin">
        <color rgb="00E3E6EA"/>
      </top>
    </border>
    <border>
      <left/>
      <right/>
      <top style="thin">
        <color rgb="00E3E6EA"/>
      </top>
      <bottom/>
      <diagonal/>
    </border>
    <border>
      <left/>
      <right style="thin">
        <color rgb="00E3E6EA"/>
      </right>
      <top style="thin">
        <color rgb="00E3E6EA"/>
      </top>
      <bottom/>
      <diagonal/>
    </border>
    <border>
      <left style="thin">
        <color rgb="00E3E6EA"/>
      </left>
      <right style="thin">
        <color rgb="00E3E6EA"/>
      </right>
    </border>
    <border>
      <left style="thin">
        <color rgb="00E3E6EA"/>
      </left>
      <right/>
      <top/>
      <bottom/>
      <diagonal/>
    </border>
    <border>
      <left/>
      <right style="thin">
        <color rgb="00E3E6EA"/>
      </right>
      <top/>
      <bottom/>
      <diagonal/>
    </border>
    <border>
      <left style="thin">
        <color rgb="00E3E6EA"/>
      </left>
      <right style="thin">
        <color rgb="00E3E6EA"/>
      </right>
      <bottom style="thin">
        <color rgb="00E3E6EA"/>
      </bottom>
    </border>
    <border>
      <left/>
      <right/>
      <top/>
      <bottom style="thin">
        <color rgb="00E3E6EA"/>
      </bottom>
      <diagonal/>
    </border>
    <border>
      <left/>
      <right style="thin">
        <color rgb="00E3E6EA"/>
      </right>
      <top/>
      <bottom style="thin">
        <color rgb="00E3E6EA"/>
      </bottom>
      <diagonal/>
    </border>
    <border>
      <left style="thin">
        <color rgb="001F6FEB"/>
      </left>
      <top style="thin">
        <color rgb="001F6FEB"/>
      </top>
    </border>
    <border>
      <top style="thin">
        <color rgb="001F6FEB"/>
      </top>
    </border>
    <border>
      <right style="thin">
        <color rgb="001F6FEB"/>
      </right>
      <top style="thin">
        <color rgb="001F6FEB"/>
      </top>
    </border>
    <border>
      <left style="thin">
        <color rgb="001F6FEB"/>
      </left>
    </border>
    <border>
      <right style="thin">
        <color rgb="001F6FEB"/>
      </right>
    </border>
    <border>
      <left style="thin">
        <color rgb="001F6FEB"/>
      </left>
      <bottom style="thin">
        <color rgb="001F6FEB"/>
      </bottom>
    </border>
    <border>
      <bottom style="thin">
        <color rgb="001F6FEB"/>
      </bottom>
    </border>
    <border>
      <right style="thin">
        <color rgb="001F6FEB"/>
      </right>
      <bottom style="thin">
        <color rgb="001F6FEB"/>
      </bottom>
    </border>
    <border>
      <left style="thin">
        <color rgb="001F6FEB"/>
      </left>
      <right style="thin">
        <color rgb="001F6FEB"/>
      </right>
      <top style="thin">
        <color rgb="001F6FEB"/>
      </top>
    </border>
    <border>
      <left/>
      <right/>
      <top style="thin">
        <color rgb="001F6FEB"/>
      </top>
      <bottom/>
      <diagonal/>
    </border>
    <border>
      <left/>
      <right style="thin">
        <color rgb="001F6FEB"/>
      </right>
      <top style="thin">
        <color rgb="001F6FEB"/>
      </top>
      <bottom/>
      <diagonal/>
    </border>
    <border>
      <left style="thin">
        <color rgb="001F6FEB"/>
      </left>
      <right style="thin">
        <color rgb="001F6FEB"/>
      </right>
    </border>
    <border>
      <left/>
      <right style="thin">
        <color rgb="001F6FEB"/>
      </right>
      <top/>
      <bottom/>
      <diagonal/>
    </border>
    <border>
      <left style="thin">
        <color rgb="001F6FEB"/>
      </left>
      <right/>
      <top/>
      <bottom/>
      <diagonal/>
    </border>
    <border>
      <left/>
      <right/>
      <top/>
      <bottom style="thin">
        <color rgb="001F6FEB"/>
      </bottom>
      <diagonal/>
    </border>
    <border>
      <left style="thin">
        <color rgb="001F6FEB"/>
      </left>
      <top style="thin">
        <color rgb="001F6FEB"/>
      </top>
      <bottom style="thin">
        <color rgb="001F6FEB"/>
      </bottom>
    </border>
    <border>
      <left style="thin">
        <color rgb="001F6FEB"/>
      </left>
      <right/>
      <top/>
      <bottom style="thin">
        <color rgb="001F6FEB"/>
      </bottom>
      <diagonal/>
    </border>
    <border>
      <top style="thin">
        <color rgb="001F6FEB"/>
      </top>
      <bottom style="thin">
        <color rgb="001F6FEB"/>
      </bottom>
    </border>
    <border>
      <right style="thin">
        <color rgb="001F6FEB"/>
      </right>
      <top style="thin">
        <color rgb="001F6FEB"/>
      </top>
      <bottom style="thin">
        <color rgb="001F6FEB"/>
      </bottom>
    </border>
    <border>
      <left/>
      <right style="thin">
        <color rgb="001F6FEB"/>
      </right>
      <top/>
      <bottom style="thin">
        <color rgb="001F6FEB"/>
      </bottom>
      <diagonal/>
    </border>
    <border>
      <left style="thin">
        <color rgb="00E3E6EA"/>
      </left>
      <top style="thin">
        <color rgb="00E3E6EA"/>
      </top>
      <bottom style="thin">
        <color rgb="00E3E6EA"/>
      </bottom>
    </border>
    <border>
      <top style="thin">
        <color rgb="00E3E6EA"/>
      </top>
      <bottom style="thin">
        <color rgb="00E3E6EA"/>
      </bottom>
    </border>
    <border>
      <right style="thin">
        <color rgb="00E3E6EA"/>
      </right>
      <top style="thin">
        <color rgb="00E3E6EA"/>
      </top>
      <bottom style="thin">
        <color rgb="00E3E6EA"/>
      </bottom>
    </border>
    <border>
      <left/>
      <right/>
      <top style="thin">
        <color rgb="00E3E6EA"/>
      </top>
      <bottom style="thin">
        <color rgb="00E3E6EA"/>
      </bottom>
      <diagonal/>
    </border>
    <border>
      <left/>
      <right style="thin">
        <color rgb="00E3E6EA"/>
      </right>
      <top style="thin">
        <color rgb="00E3E6EA"/>
      </top>
      <bottom style="thin">
        <color rgb="00E3E6EA"/>
      </bottom>
      <diagonal/>
    </border>
    <border>
      <left style="thin">
        <color rgb="001F6FEB"/>
      </left>
      <right style="thin">
        <color rgb="001F6FEB"/>
      </right>
      <top style="thin">
        <color rgb="001F6FEB"/>
      </top>
      <bottom style="thin">
        <color rgb="001F6FEB"/>
      </bottom>
    </border>
    <border>
      <left/>
      <right style="thin">
        <color rgb="001F6FEB"/>
      </right>
      <top style="thin">
        <color rgb="001F6FEB"/>
      </top>
      <bottom style="thin">
        <color rgb="001F6FEB"/>
      </bottom>
      <diagonal/>
    </border>
  </borders>
  <cellStyleXfs count="1">
    <xf numFmtId="0" fontId="0" fillId="0" borderId="0"/>
  </cellStyleXfs>
  <cellXfs count="212">
    <xf numFmtId="0" fontId="0" fillId="0" borderId="0" pivotButton="0" quotePrefix="0" xfId="0"/>
    <xf numFmtId="0" fontId="0" fillId="10" borderId="3" pivotButton="0" quotePrefix="0" xfId="0"/>
    <xf numFmtId="0" fontId="26" fillId="10" borderId="4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10" borderId="4" pivotButton="0" quotePrefix="0" xfId="0"/>
    <xf numFmtId="0" fontId="27" fillId="10" borderId="4" applyAlignment="1" pivotButton="0" quotePrefix="0" xfId="0">
      <alignment horizontal="right" vertical="center" wrapText="1"/>
    </xf>
    <xf numFmtId="0" fontId="28" fillId="10" borderId="5" applyAlignment="1" pivotButton="0" quotePrefix="0" xfId="0">
      <alignment horizontal="right" vertical="center" wrapText="1"/>
    </xf>
    <xf numFmtId="0" fontId="0" fillId="0" borderId="14" pivotButton="0" quotePrefix="0" xfId="0"/>
    <xf numFmtId="0" fontId="0" fillId="10" borderId="6" pivotButton="0" quotePrefix="0" xfId="0"/>
    <xf numFmtId="0" fontId="27" fillId="10" borderId="7" applyAlignment="1" pivotButton="0" quotePrefix="0" xfId="0">
      <alignment horizontal="left" vertical="center" wrapText="1"/>
    </xf>
    <xf numFmtId="0" fontId="0" fillId="10" borderId="7" pivotButton="0" quotePrefix="0" xfId="0"/>
    <xf numFmtId="0" fontId="0" fillId="0" borderId="15" pivotButton="0" quotePrefix="0" xfId="0"/>
    <xf numFmtId="0" fontId="0" fillId="10" borderId="9" pivotButton="0" quotePrefix="0" xfId="0"/>
    <xf numFmtId="0" fontId="4" fillId="10" borderId="10" applyAlignment="1" pivotButton="0" quotePrefix="0" xfId="0">
      <alignment horizontal="right" vertical="center" wrapText="1"/>
    </xf>
    <xf numFmtId="173" fontId="11" fillId="11" borderId="10" applyAlignment="1" pivotButton="0" quotePrefix="0" xfId="0">
      <alignment horizontal="center" vertical="center"/>
    </xf>
    <xf numFmtId="0" fontId="0" fillId="0" borderId="13" pivotButton="0" quotePrefix="0" xfId="0"/>
    <xf numFmtId="0" fontId="0" fillId="10" borderId="10" pivotButton="0" quotePrefix="0" xfId="0"/>
    <xf numFmtId="0" fontId="27" fillId="10" borderId="10" applyAlignment="1" pivotButton="0" quotePrefix="0" xfId="0">
      <alignment horizontal="right" vertical="center" wrapText="1"/>
    </xf>
    <xf numFmtId="0" fontId="0" fillId="10" borderId="11" pivotButton="0" quotePrefix="0" xfId="0"/>
    <xf numFmtId="0" fontId="6" fillId="0" borderId="0" applyAlignment="1" pivotButton="0" quotePrefix="0" xfId="0">
      <alignment horizontal="left" vertical="center" wrapText="1"/>
    </xf>
    <xf numFmtId="0" fontId="29" fillId="11" borderId="24" applyAlignment="1" pivotButton="0" quotePrefix="0" xfId="0">
      <alignment horizontal="left" vertical="center" wrapText="1"/>
    </xf>
    <xf numFmtId="0" fontId="0" fillId="0" borderId="25" pivotButton="0" quotePrefix="0" xfId="0"/>
    <xf numFmtId="0" fontId="0" fillId="0" borderId="26" pivotButton="0" quotePrefix="0" xfId="0"/>
    <xf numFmtId="172" fontId="30" fillId="11" borderId="27" applyAlignment="1" pivotButton="0" quotePrefix="0" xfId="0">
      <alignment horizontal="left" vertical="center" wrapText="1"/>
    </xf>
    <xf numFmtId="0" fontId="0" fillId="0" borderId="29" pivotButton="0" quotePrefix="0" xfId="0"/>
    <xf numFmtId="172" fontId="31" fillId="11" borderId="27" applyAlignment="1" pivotButton="0" quotePrefix="0" xfId="0">
      <alignment horizontal="left" vertical="center" wrapText="1"/>
    </xf>
    <xf numFmtId="172" fontId="32" fillId="11" borderId="27" applyAlignment="1" pivotButton="0" quotePrefix="0" xfId="0">
      <alignment horizontal="left" vertical="center" wrapText="1"/>
    </xf>
    <xf numFmtId="0" fontId="0" fillId="0" borderId="28" pivotButton="0" quotePrefix="0" xfId="0"/>
    <xf numFmtId="0" fontId="16" fillId="11" borderId="30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33" fillId="11" borderId="30" applyAlignment="1" pivotButton="0" quotePrefix="0" xfId="0">
      <alignment horizontal="left" vertical="center" wrapText="1"/>
    </xf>
    <xf numFmtId="0" fontId="14" fillId="11" borderId="4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36" fillId="11" borderId="24" applyAlignment="1" pivotButton="0" quotePrefix="0" xfId="0">
      <alignment horizontal="left" vertical="center" wrapText="1"/>
    </xf>
    <xf numFmtId="0" fontId="16" fillId="11" borderId="44" applyAlignment="1" pivotButton="0" quotePrefix="0" xfId="0">
      <alignment horizontal="left" vertical="center" wrapText="1"/>
    </xf>
    <xf numFmtId="0" fontId="0" fillId="0" borderId="45" pivotButton="0" quotePrefix="0" xfId="0"/>
    <xf numFmtId="170" fontId="37" fillId="11" borderId="19" applyAlignment="1" pivotButton="0" quotePrefix="0" xfId="0">
      <alignment horizontal="center" vertical="center" wrapText="1"/>
    </xf>
    <xf numFmtId="0" fontId="3" fillId="11" borderId="20" applyAlignment="1" pivotButton="0" quotePrefix="0" xfId="0">
      <alignment horizontal="center" vertical="center" wrapText="1"/>
    </xf>
    <xf numFmtId="172" fontId="34" fillId="11" borderId="36" applyAlignment="1" pivotButton="0" quotePrefix="0" xfId="0">
      <alignment horizontal="center" vertical="center" wrapText="1"/>
    </xf>
    <xf numFmtId="0" fontId="22" fillId="11" borderId="37" applyAlignment="1" pivotButton="0" quotePrefix="0" xfId="0">
      <alignment horizontal="center" vertical="center" wrapText="1"/>
    </xf>
    <xf numFmtId="0" fontId="35" fillId="11" borderId="20" applyAlignment="1" pivotButton="0" quotePrefix="0" xfId="0">
      <alignment horizontal="center" vertical="center" wrapText="1"/>
    </xf>
    <xf numFmtId="0" fontId="0" fillId="0" borderId="46" pivotButton="0" quotePrefix="0" xfId="0"/>
    <xf numFmtId="0" fontId="35" fillId="11" borderId="37" applyAlignment="1" pivotButton="0" quotePrefix="0" xfId="0">
      <alignment horizontal="center" vertical="center" wrapText="1"/>
    </xf>
    <xf numFmtId="0" fontId="36" fillId="11" borderId="27" applyAlignment="1" pivotButton="0" quotePrefix="0" xfId="0">
      <alignment horizontal="left" vertical="center" wrapText="1"/>
    </xf>
    <xf numFmtId="0" fontId="0" fillId="11" borderId="36" pivotButton="0" quotePrefix="0" xfId="0"/>
    <xf numFmtId="0" fontId="0" fillId="11" borderId="7" pivotButton="0" quotePrefix="0" xfId="0"/>
    <xf numFmtId="0" fontId="16" fillId="11" borderId="37" applyAlignment="1" pivotButton="0" quotePrefix="0" xfId="0">
      <alignment horizontal="center" vertical="center" wrapText="1"/>
    </xf>
    <xf numFmtId="170" fontId="2" fillId="11" borderId="19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16" fillId="11" borderId="36" applyAlignment="1" pivotButton="0" quotePrefix="0" xfId="0">
      <alignment horizontal="left" vertical="center" wrapText="1"/>
    </xf>
    <xf numFmtId="172" fontId="24" fillId="11" borderId="7" applyAlignment="1" pivotButton="0" quotePrefix="0" xfId="0">
      <alignment horizontal="right" vertical="center" wrapText="1"/>
    </xf>
    <xf numFmtId="0" fontId="16" fillId="11" borderId="7" applyAlignment="1" pivotButton="0" quotePrefix="0" xfId="0">
      <alignment horizontal="left" vertical="center" wrapText="1"/>
    </xf>
    <xf numFmtId="172" fontId="24" fillId="11" borderId="37" applyAlignment="1" pivotButton="0" quotePrefix="0" xfId="0">
      <alignment horizontal="right" vertical="center" wrapText="1"/>
    </xf>
    <xf numFmtId="0" fontId="16" fillId="11" borderId="19" applyAlignment="1" pivotButton="0" quotePrefix="0" xfId="0">
      <alignment horizontal="left" vertical="center" wrapText="1"/>
    </xf>
    <xf numFmtId="172" fontId="1" fillId="11" borderId="20" applyAlignment="1" pivotButton="0" quotePrefix="0" xfId="0">
      <alignment horizontal="right" vertical="center" wrapText="1"/>
    </xf>
    <xf numFmtId="0" fontId="16" fillId="11" borderId="38" applyAlignment="1" pivotButton="0" quotePrefix="0" xfId="0">
      <alignment horizontal="left" vertical="center" wrapText="1"/>
    </xf>
    <xf numFmtId="0" fontId="0" fillId="0" borderId="47" pivotButton="0" quotePrefix="0" xfId="0"/>
    <xf numFmtId="172" fontId="24" fillId="11" borderId="39" applyAlignment="1" pivotButton="0" quotePrefix="0" xfId="0">
      <alignment horizontal="right" vertical="center" wrapText="1"/>
    </xf>
    <xf numFmtId="0" fontId="16" fillId="11" borderId="39" applyAlignment="1" pivotButton="0" quotePrefix="0" xfId="0">
      <alignment horizontal="left" vertical="center" wrapText="1"/>
    </xf>
    <xf numFmtId="172" fontId="24" fillId="11" borderId="4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 wrapText="1"/>
    </xf>
    <xf numFmtId="172" fontId="24" fillId="0" borderId="0" applyAlignment="1" pivotButton="0" quotePrefix="0" xfId="0">
      <alignment horizontal="right" vertical="center" wrapText="1"/>
    </xf>
    <xf numFmtId="0" fontId="36" fillId="11" borderId="16" applyAlignment="1" pivotButton="0" quotePrefix="0" xfId="0">
      <alignment horizontal="left" vertical="center" wrapText="1"/>
    </xf>
    <xf numFmtId="0" fontId="36" fillId="11" borderId="17" applyAlignment="1" pivotButton="0" quotePrefix="0" xfId="0">
      <alignment horizontal="right" vertical="center" wrapText="1"/>
    </xf>
    <xf numFmtId="0" fontId="36" fillId="11" borderId="18" applyAlignment="1" pivotButton="0" quotePrefix="0" xfId="0">
      <alignment horizontal="right" vertical="center" wrapText="1"/>
    </xf>
    <xf numFmtId="0" fontId="10" fillId="11" borderId="16" applyAlignment="1" pivotButton="0" quotePrefix="0" xfId="0">
      <alignment horizontal="left" vertical="center" wrapText="1"/>
    </xf>
    <xf numFmtId="170" fontId="36" fillId="11" borderId="18" applyAlignment="1" pivotButton="0" quotePrefix="0" xfId="0">
      <alignment horizontal="right" vertical="center" wrapText="1"/>
    </xf>
    <xf numFmtId="0" fontId="21" fillId="11" borderId="27" applyAlignment="1" pivotButton="0" quotePrefix="0" xfId="0">
      <alignment horizontal="left" vertical="center" wrapText="1"/>
    </xf>
    <xf numFmtId="172" fontId="40" fillId="11" borderId="19" applyAlignment="1" pivotButton="0" quotePrefix="0" xfId="0">
      <alignment horizontal="left" vertical="center" wrapText="1"/>
    </xf>
    <xf numFmtId="174" fontId="35" fillId="11" borderId="20" applyAlignment="1" pivotButton="0" quotePrefix="0" xfId="0">
      <alignment horizontal="right" vertical="center" wrapText="1"/>
    </xf>
    <xf numFmtId="0" fontId="7" fillId="11" borderId="19" applyAlignment="1" pivotButton="0" quotePrefix="0" xfId="0">
      <alignment horizontal="left" vertical="center" wrapText="1"/>
    </xf>
    <xf numFmtId="172" fontId="3" fillId="11" borderId="7" applyAlignment="1" pivotButton="0" quotePrefix="0" xfId="0">
      <alignment horizontal="right"/>
    </xf>
    <xf numFmtId="172" fontId="1" fillId="11" borderId="20" applyAlignment="1" pivotButton="0" quotePrefix="0" xfId="0">
      <alignment horizontal="right"/>
    </xf>
    <xf numFmtId="175" fontId="41" fillId="11" borderId="20" applyAlignment="1" pivotButton="0" quotePrefix="0" xfId="0">
      <alignment horizontal="right" vertical="center" wrapText="1"/>
    </xf>
    <xf numFmtId="0" fontId="16" fillId="11" borderId="20" applyAlignment="1" pivotButton="0" quotePrefix="0" xfId="0">
      <alignment horizontal="right" vertical="center" wrapText="1"/>
    </xf>
    <xf numFmtId="0" fontId="0" fillId="11" borderId="21" pivotButton="0" quotePrefix="0" xfId="0"/>
    <xf numFmtId="0" fontId="0" fillId="11" borderId="22" pivotButton="0" quotePrefix="0" xfId="0"/>
    <xf numFmtId="0" fontId="0" fillId="11" borderId="23" pivotButton="0" quotePrefix="0" xfId="0"/>
    <xf numFmtId="0" fontId="21" fillId="11" borderId="19" applyAlignment="1" pivotButton="0" quotePrefix="0" xfId="0">
      <alignment horizontal="left" vertical="center" wrapText="1"/>
    </xf>
    <xf numFmtId="172" fontId="21" fillId="11" borderId="7" applyAlignment="1" pivotButton="0" quotePrefix="0" xfId="0">
      <alignment horizontal="right"/>
    </xf>
    <xf numFmtId="172" fontId="21" fillId="11" borderId="20" applyAlignment="1" pivotButton="0" quotePrefix="0" xfId="0">
      <alignment horizontal="right"/>
    </xf>
    <xf numFmtId="0" fontId="0" fillId="11" borderId="19" pivotButton="0" quotePrefix="0" xfId="0"/>
    <xf numFmtId="0" fontId="0" fillId="11" borderId="20" pivotButton="0" quotePrefix="0" xfId="0"/>
    <xf numFmtId="0" fontId="8" fillId="11" borderId="27" applyAlignment="1" pivotButton="0" quotePrefix="0" xfId="0">
      <alignment horizontal="left" vertical="center" wrapText="1"/>
    </xf>
    <xf numFmtId="0" fontId="8" fillId="11" borderId="19" applyAlignment="1" pivotButton="0" quotePrefix="0" xfId="0">
      <alignment horizontal="left" vertical="center" wrapText="1"/>
    </xf>
    <xf numFmtId="172" fontId="8" fillId="11" borderId="7" applyAlignment="1" pivotButton="0" quotePrefix="0" xfId="0">
      <alignment horizontal="right"/>
    </xf>
    <xf numFmtId="172" fontId="8" fillId="11" borderId="20" applyAlignment="1" pivotButton="0" quotePrefix="0" xfId="0">
      <alignment horizontal="right"/>
    </xf>
    <xf numFmtId="0" fontId="5" fillId="11" borderId="27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5" fillId="11" borderId="21" applyAlignment="1" pivotButton="0" quotePrefix="0" xfId="0">
      <alignment horizontal="left" vertical="center" wrapText="1"/>
    </xf>
    <xf numFmtId="172" fontId="5" fillId="11" borderId="22" applyAlignment="1" pivotButton="0" quotePrefix="0" xfId="0">
      <alignment horizontal="right"/>
    </xf>
    <xf numFmtId="172" fontId="5" fillId="11" borderId="23" applyAlignment="1" pivotButton="0" quotePrefix="0" xfId="0">
      <alignment horizontal="right"/>
    </xf>
    <xf numFmtId="0" fontId="14" fillId="4" borderId="48" applyAlignment="1" pivotButton="0" quotePrefix="0" xfId="0">
      <alignment horizontal="left" vertical="center" wrapText="1"/>
    </xf>
    <xf numFmtId="172" fontId="38" fillId="4" borderId="50" applyAlignment="1" pivotButton="0" quotePrefix="0" xfId="0">
      <alignment horizontal="right" vertical="center" wrapText="1"/>
    </xf>
    <xf numFmtId="172" fontId="39" fillId="4" borderId="51" applyAlignment="1" pivotButton="0" quotePrefix="0" xfId="0">
      <alignment horizontal="right" vertical="center" wrapText="1"/>
    </xf>
    <xf numFmtId="0" fontId="0" fillId="0" borderId="49" pivotButton="0" quotePrefix="0" xfId="0"/>
    <xf numFmtId="0" fontId="0" fillId="0" borderId="52" pivotButton="0" quotePrefix="0" xfId="0"/>
    <xf numFmtId="0" fontId="3" fillId="11" borderId="17" applyAlignment="1" pivotButton="0" quotePrefix="0" xfId="0">
      <alignment horizontal="right" vertical="center" wrapText="1"/>
    </xf>
    <xf numFmtId="0" fontId="1" fillId="11" borderId="18" applyAlignment="1" pivotButton="0" quotePrefix="0" xfId="0">
      <alignment horizontal="right" vertical="center" wrapText="1"/>
    </xf>
    <xf numFmtId="0" fontId="35" fillId="11" borderId="19" applyAlignment="1" pivotButton="0" quotePrefix="0" xfId="0">
      <alignment horizontal="left" vertical="center" wrapText="1"/>
    </xf>
    <xf numFmtId="170" fontId="13" fillId="11" borderId="7" applyAlignment="1" pivotButton="0" quotePrefix="0" xfId="0">
      <alignment horizontal="right" vertical="center" wrapText="1"/>
    </xf>
    <xf numFmtId="0" fontId="43" fillId="11" borderId="2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7" fillId="0" borderId="22" applyAlignment="1" pivotButton="0" quotePrefix="0" xfId="0">
      <alignment horizontal="left" vertical="center" wrapText="1"/>
    </xf>
    <xf numFmtId="0" fontId="0" fillId="0" borderId="22" pivotButton="0" quotePrefix="0" xfId="0"/>
    <xf numFmtId="0" fontId="16" fillId="0" borderId="22" applyAlignment="1" pivotButton="0" quotePrefix="0" xfId="0">
      <alignment horizontal="center" vertical="center" wrapText="1"/>
    </xf>
    <xf numFmtId="166" fontId="1" fillId="0" borderId="22" applyAlignment="1" pivotButton="0" quotePrefix="0" xfId="0">
      <alignment horizontal="right" vertical="center" wrapText="1"/>
    </xf>
    <xf numFmtId="164" fontId="16" fillId="0" borderId="22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1" fillId="0" borderId="0" pivotButton="0" quotePrefix="0" xfId="0"/>
    <xf numFmtId="172" fontId="0" fillId="0" borderId="0" pivotButton="0" quotePrefix="0" xfId="0"/>
    <xf numFmtId="0" fontId="19" fillId="11" borderId="2" applyAlignment="1" pivotButton="0" quotePrefix="0" xfId="0">
      <alignment horizontal="left" vertical="center" wrapText="1"/>
    </xf>
    <xf numFmtId="0" fontId="0" fillId="0" borderId="56" pivotButton="0" quotePrefix="0" xfId="0"/>
    <xf numFmtId="0" fontId="0" fillId="0" borderId="57" pivotButton="0" quotePrefix="0" xfId="0"/>
    <xf numFmtId="0" fontId="8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left" vertical="center" wrapText="1"/>
    </xf>
    <xf numFmtId="0" fontId="5" fillId="4" borderId="58" applyAlignment="1" pivotButton="0" quotePrefix="0" xfId="0">
      <alignment horizontal="center" vertical="center" wrapText="1"/>
    </xf>
    <xf numFmtId="0" fontId="0" fillId="0" borderId="59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71" fontId="1" fillId="0" borderId="2" applyAlignment="1" pivotButton="0" quotePrefix="0" xfId="0">
      <alignment horizontal="center" vertical="center"/>
    </xf>
    <xf numFmtId="166" fontId="7" fillId="0" borderId="2" applyAlignment="1" pivotButton="0" quotePrefix="0" xfId="0">
      <alignment horizontal="right" vertical="center"/>
    </xf>
    <xf numFmtId="166" fontId="3" fillId="0" borderId="2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70" fontId="7" fillId="0" borderId="2" applyAlignment="1" pivotButton="0" quotePrefix="0" xfId="0">
      <alignment horizontal="center" vertical="center"/>
    </xf>
    <xf numFmtId="0" fontId="25" fillId="0" borderId="0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right" vertical="center"/>
    </xf>
    <xf numFmtId="166" fontId="10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16" fillId="0" borderId="2" applyAlignment="1" pivotButton="0" quotePrefix="0" xfId="0">
      <alignment vertical="center"/>
    </xf>
    <xf numFmtId="0" fontId="7" fillId="8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167" fontId="7" fillId="0" borderId="2" applyAlignment="1" pivotButton="0" quotePrefix="0" xfId="0">
      <alignment horizontal="right" vertical="center"/>
    </xf>
    <xf numFmtId="167" fontId="10" fillId="0" borderId="2" applyAlignment="1" pivotButton="0" quotePrefix="0" xfId="0">
      <alignment horizontal="right" vertical="center"/>
    </xf>
    <xf numFmtId="167" fontId="3" fillId="0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17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8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165" fontId="7" fillId="0" borderId="2" applyAlignment="1" pivotButton="0" quotePrefix="0" xfId="0">
      <alignment horizontal="right" vertical="center"/>
    </xf>
    <xf numFmtId="169" fontId="7" fillId="0" borderId="2" applyAlignment="1" pivotButton="0" quotePrefix="0" xfId="0">
      <alignment horizontal="right" vertical="center"/>
    </xf>
    <xf numFmtId="168" fontId="7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/>
    </xf>
    <xf numFmtId="167" fontId="1" fillId="0" borderId="2" applyAlignment="1" pivotButton="0" quotePrefix="0" xfId="0">
      <alignment horizontal="right" vertical="center"/>
    </xf>
    <xf numFmtId="0" fontId="19" fillId="3" borderId="2" applyAlignment="1" pivotButton="0" quotePrefix="0" xfId="0">
      <alignment horizontal="center" vertical="center"/>
    </xf>
    <xf numFmtId="0" fontId="8" fillId="0" borderId="0" pivotButton="0" quotePrefix="0" xfId="0"/>
    <xf numFmtId="0" fontId="10" fillId="0" borderId="2" applyAlignment="1" pivotButton="0" quotePrefix="0" xfId="0">
      <alignment horizontal="center" vertical="center"/>
    </xf>
    <xf numFmtId="169" fontId="1" fillId="0" borderId="2" applyAlignment="1" pivotButton="0" quotePrefix="0" xfId="0">
      <alignment horizontal="right" vertical="center"/>
    </xf>
    <xf numFmtId="169" fontId="3" fillId="0" borderId="2" applyAlignment="1" pivotButton="0" quotePrefix="0" xfId="0">
      <alignment horizontal="right" vertical="center"/>
    </xf>
    <xf numFmtId="168" fontId="1" fillId="0" borderId="2" applyAlignment="1" pivotButton="0" quotePrefix="0" xfId="0">
      <alignment horizontal="right" vertical="center"/>
    </xf>
    <xf numFmtId="170" fontId="7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right" vertical="center"/>
    </xf>
    <xf numFmtId="0" fontId="6" fillId="4" borderId="2" applyAlignment="1" pivotButton="0" quotePrefix="0" xfId="0">
      <alignment vertical="center"/>
    </xf>
    <xf numFmtId="0" fontId="7" fillId="4" borderId="2" applyAlignment="1" pivotButton="0" quotePrefix="0" xfId="0">
      <alignment vertical="center"/>
    </xf>
    <xf numFmtId="166" fontId="6" fillId="4" borderId="2" applyAlignment="1" pivotButton="0" quotePrefix="0" xfId="0">
      <alignment horizontal="right" vertical="center"/>
    </xf>
    <xf numFmtId="170" fontId="6" fillId="4" borderId="2" applyAlignment="1" pivotButton="0" quotePrefix="0" xfId="0">
      <alignment horizontal="right" vertical="center"/>
    </xf>
    <xf numFmtId="0" fontId="19" fillId="0" borderId="0" applyAlignment="1" pivotButton="0" quotePrefix="0" xfId="0">
      <alignment vertical="center"/>
    </xf>
    <xf numFmtId="0" fontId="20" fillId="0" borderId="2" applyAlignment="1" pivotButton="0" quotePrefix="0" xfId="0">
      <alignment vertical="center"/>
    </xf>
    <xf numFmtId="172" fontId="7" fillId="0" borderId="2" applyAlignment="1" pivotButton="0" quotePrefix="0" xfId="0">
      <alignment horizontal="right" vertical="center"/>
    </xf>
    <xf numFmtId="172" fontId="1" fillId="0" borderId="2" applyAlignment="1" pivotButton="0" quotePrefix="0" xfId="0">
      <alignment horizontal="right" vertical="center"/>
    </xf>
    <xf numFmtId="10" fontId="7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" fontId="1" fillId="0" borderId="2" applyAlignment="1" pivotButton="0" quotePrefix="0" xfId="0">
      <alignment horizontal="center" vertical="center"/>
    </xf>
    <xf numFmtId="165" fontId="1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vertical="center"/>
    </xf>
    <xf numFmtId="0" fontId="7" fillId="4" borderId="2" applyAlignment="1" pivotButton="0" quotePrefix="0" xfId="0">
      <alignment horizontal="center" vertical="center"/>
    </xf>
    <xf numFmtId="166" fontId="7" fillId="0" borderId="2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11" fillId="4" borderId="2" applyAlignment="1" pivotButton="0" quotePrefix="0" xfId="0">
      <alignment horizontal="center" vertical="center"/>
    </xf>
    <xf numFmtId="165" fontId="12" fillId="5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166" fontId="22" fillId="4" borderId="2" applyAlignment="1" pivotButton="0" quotePrefix="0" xfId="0">
      <alignment horizontal="right" vertical="center"/>
    </xf>
    <xf numFmtId="166" fontId="23" fillId="0" borderId="2" applyAlignment="1" pivotButton="0" quotePrefix="0" xfId="0">
      <alignment horizontal="right" vertical="center"/>
    </xf>
    <xf numFmtId="0" fontId="24" fillId="3" borderId="2" applyAlignment="1" pivotButton="0" quotePrefix="0" xfId="0">
      <alignment horizontal="center" vertical="center"/>
    </xf>
    <xf numFmtId="172" fontId="10" fillId="0" borderId="2" applyAlignment="1" pivotButton="0" quotePrefix="0" xfId="0">
      <alignment horizontal="right" vertical="center"/>
    </xf>
    <xf numFmtId="172" fontId="14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vertical="center"/>
    </xf>
    <xf numFmtId="169" fontId="7" fillId="0" borderId="2" applyAlignment="1" pivotButton="0" quotePrefix="0" xfId="0">
      <alignment vertical="center"/>
    </xf>
    <xf numFmtId="168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3" fontId="6" fillId="0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vertical="top" wrapText="1"/>
    </xf>
    <xf numFmtId="0" fontId="21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8" fontId="7" fillId="6" borderId="2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5" fillId="7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dxfs count="12">
    <dxf>
      <font>
        <name val="Tahoma"/>
        <b val="1"/>
        <color rgb="00DC2626"/>
        <sz val="8"/>
      </font>
      <fill>
        <patternFill patternType="solid">
          <fgColor rgb="00FCEBEC"/>
        </patternFill>
      </fill>
    </dxf>
    <dxf>
      <font>
        <name val="Tahoma"/>
        <b val="1"/>
        <color rgb="00D97706"/>
        <sz val="8"/>
      </font>
      <fill>
        <patternFill patternType="solid">
          <fgColor rgb="00FDF3E2"/>
        </patternFill>
      </fill>
    </dxf>
    <dxf>
      <font>
        <name val="Tahoma"/>
        <b val="1"/>
        <color rgb="0016A34A"/>
        <sz val="8"/>
      </font>
    </dxf>
    <dxf>
      <font>
        <name val="Tahoma"/>
        <b val="1"/>
        <color rgb="0016A34A"/>
        <sz val="9"/>
      </font>
      <fill>
        <patternFill patternType="solid">
          <fgColor rgb="00E7F6EC"/>
        </patternFill>
      </fill>
    </dxf>
    <dxf>
      <font>
        <name val="Tahoma"/>
        <b val="1"/>
        <color rgb="00D97706"/>
        <sz val="9"/>
      </font>
      <fill>
        <patternFill patternType="solid">
          <fgColor rgb="00FDF3E2"/>
        </patternFill>
      </fill>
    </dxf>
    <dxf>
      <font>
        <name val="Tahoma"/>
        <b val="1"/>
        <color rgb="00DC2626"/>
        <sz val="9"/>
      </font>
      <fill>
        <patternFill patternType="solid">
          <fgColor rgb="00FCEBEC"/>
        </patternFill>
      </fill>
    </dxf>
    <dxf>
      <font>
        <name val="Tahoma"/>
        <b val="1"/>
        <color rgb="00DC2626"/>
        <sz val="9"/>
      </font>
    </dxf>
    <dxf>
      <fill>
        <patternFill patternType="solid">
          <fgColor rgb="00FDF3E2"/>
        </patternFill>
      </fill>
    </dxf>
    <dxf>
      <font>
        <name val="Tahoma"/>
        <b val="1"/>
        <color rgb="0016A34A"/>
        <sz val="9"/>
      </font>
    </dxf>
    <dxf>
      <font>
        <name val="Tahoma"/>
        <b val="1"/>
        <color rgb="00DC2626"/>
        <sz val="10"/>
      </font>
    </dxf>
    <dxf>
      <font>
        <name val="Tahoma"/>
        <b val="1"/>
        <color rgb="0016A34A"/>
        <sz val="10"/>
      </font>
    </dxf>
    <dxf>
      <font>
        <name val="Tahoma"/>
        <b val="1"/>
        <color rgb="000B3B8C"/>
        <sz val="9"/>
      </font>
      <fill>
        <patternFill patternType="solid">
          <fgColor rgb="00EEF3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Asset Allocation</a:t>
            </a:r>
          </a:p>
        </rich>
      </tx>
    </title>
    <plotArea>
      <doughnutChart>
        <varyColors val="1"/>
        <ser>
          <idx val="0"/>
          <order val="0"/>
          <tx>
            <strRef>
              <f>'01_DASHBOARD'!Q84</f>
            </strRef>
          </tx>
          <spPr>
            <a:ln>
              <a:prstDash val="solid"/>
            </a:ln>
          </spPr>
          <cat>
            <numRef>
              <f>'01_DASHBOARD'!$P$85:$P$88</f>
            </numRef>
          </cat>
          <val>
            <numRef>
              <f>'01_DASHBOARD'!$Q$85:$Q$88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Investment Allocation</a:t>
            </a:r>
          </a:p>
        </rich>
      </tx>
    </title>
    <plotArea>
      <doughnutChart>
        <varyColors val="1"/>
        <ser>
          <idx val="0"/>
          <order val="0"/>
          <tx>
            <strRef>
              <f>'01_DASHBOARD'!Q90</f>
            </strRef>
          </tx>
          <spPr>
            <a:ln>
              <a:prstDash val="solid"/>
            </a:ln>
          </spPr>
          <cat>
            <numRef>
              <f>'01_DASHBOARD'!$P$91:$P$93</f>
            </numRef>
          </cat>
          <val>
            <numRef>
              <f>'01_DASHBOARD'!$Q$91:$Q$93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Wealth Growth (Contributed Capital)</a:t>
            </a:r>
          </a:p>
        </rich>
      </tx>
    </title>
    <plotArea>
      <lineChart>
        <grouping val="standard"/>
        <ser>
          <idx val="0"/>
          <order val="0"/>
          <tx>
            <strRef>
              <f>'14_NET_WORTH'!P5</f>
            </strRef>
          </tx>
          <spPr>
            <a:ln w="28000">
              <a:solidFill>
                <a:srgbClr val="1F6F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'14_NET_WORTH'!$B$6:$B$20</f>
            </numRef>
          </cat>
          <val>
            <numRef>
              <f>'14_NET_WORTH'!$P$6:$P$20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Wealth Growth — Contributed Capital vs Net Worth</a:t>
            </a:r>
          </a:p>
        </rich>
      </tx>
    </title>
    <plotArea>
      <lineChart>
        <grouping val="standard"/>
        <ser>
          <idx val="0"/>
          <order val="0"/>
          <tx>
            <strRef>
              <f>'14_NET_WORTH'!P5</f>
            </strRef>
          </tx>
          <spPr>
            <a:ln w="26000">
              <a:solidFill>
                <a:srgbClr val="1F6F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'14_NET_WORTH'!$B$6:$B$20</f>
            </numRef>
          </cat>
          <val>
            <numRef>
              <f>'14_NET_WORTH'!$P$6:$P$20</f>
            </numRef>
          </val>
          <smooth val="0"/>
        </ser>
        <ser>
          <idx val="1"/>
          <order val="1"/>
          <tx>
            <strRef>
              <f>'14_NET_WORTH'!L5</f>
            </strRef>
          </tx>
          <spPr>
            <a:ln w="26000">
              <a:solidFill>
                <a:srgbClr val="16A3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'14_NET_WORTH'!$B$6:$B$20</f>
            </numRef>
          </cat>
          <val>
            <numRef>
              <f>'14_NET_WORTH'!$L$6:$L$20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THB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Estimated Net Worth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'15_FORECAST'!L5</f>
            </strRef>
          </tx>
          <spPr>
            <a:solidFill>
              <a:srgbClr val="1F6FEB"/>
            </a:solidFill>
            <a:ln>
              <a:prstDash val="solid"/>
            </a:ln>
          </spPr>
          <cat>
            <numRef>
              <f>'15_FORECAST'!$B$6:$B$20</f>
            </numRef>
          </cat>
          <val>
            <numRef>
              <f>'15_FORECAST'!$L$6:$L$20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83</row>
      <rowOff>0</rowOff>
    </from>
    <ext cx="3420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83</row>
      <rowOff>0</rowOff>
    </from>
    <ext cx="3420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83</row>
      <rowOff>0</rowOff>
    </from>
    <ext cx="4860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onthly" displayName="tblMonthly" ref="B5:P20" headerRowCount="1">
  <autoFilter ref="B5:P20"/>
  <tableColumns count="15">
    <tableColumn id="2" name="Month"/>
    <tableColumn id="3" name="Income (Actual)"/>
    <tableColumn id="4" name="Income (Plan)"/>
    <tableColumn id="5" name="Expense (Actual)"/>
    <tableColumn id="6" name="Expense (Plan)"/>
    <tableColumn id="7" name="Saving (Actual)"/>
    <tableColumn id="8" name="Investment (Actual)"/>
    <tableColumn id="9" name="Investment (Plan)"/>
    <tableColumn id="10" name="Employee PVD"/>
    <tableColumn id="11" name="Employer PVD"/>
    <tableColumn id="12" name="Remaining Cash (Actual)"/>
    <tableColumn id="13" name="Remaining Cash (Plan)"/>
    <tableColumn id="14" name="Savings Rate"/>
    <tableColumn id="15" name="Investment Rate"/>
    <tableColumn id="16" name="Net Worth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Accounts" displayName="tblAccounts" ref="B5:R18" headerRowCount="1">
  <autoFilter ref="B5:R18"/>
  <tableColumns count="17">
    <tableColumn id="2" name="Account ID"/>
    <tableColumn id="3" name="Account Name"/>
    <tableColumn id="4" name="Institution"/>
    <tableColumn id="5" name="Account Type"/>
    <tableColumn id="6" name="Currency"/>
    <tableColumn id="7" name="Purpose"/>
    <tableColumn id="8" name="Opening Balance"/>
    <tableColumn id="9" name="Opening Date"/>
    <tableColumn id="10" name="Movement (TX)"/>
    <tableColumn id="11" name="Current Balance"/>
    <tableColumn id="12" name="Reported Balance"/>
    <tableColumn id="13" name="Difference"/>
    <tableColumn id="14" name="Available Balance"/>
    <tableColumn id="15" name="Last Updated"/>
    <tableColumn id="16" name="Source"/>
    <tableColumn id="17" name="Data Status"/>
    <tableColumn id="18" name="Statu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Tx" displayName="tblTx" ref="B5:X269" headerRowCount="1">
  <autoFilter ref="B5:X269"/>
  <tableColumns count="23">
    <tableColumn id="2" name="Transaction ID"/>
    <tableColumn id="3" name="Date"/>
    <tableColumn id="4" name="Time"/>
    <tableColumn id="5" name="Type"/>
    <tableColumn id="6" name="Source Account"/>
    <tableColumn id="7" name="Destination Account"/>
    <tableColumn id="8" name="Amount"/>
    <tableColumn id="9" name="Currency"/>
    <tableColumn id="10" name="FX Rate"/>
    <tableColumn id="11" name="THB Equivalent"/>
    <tableColumn id="12" name="Category"/>
    <tableColumn id="13" name="Subcategory"/>
    <tableColumn id="14" name="Asset"/>
    <tableColumn id="15" name="Quantity"/>
    <tableColumn id="16" name="Price"/>
    <tableColumn id="17" name="Fee"/>
    <tableColumn id="18" name="Realized P/L"/>
    <tableColumn id="19" name="Tax Classification"/>
    <tableColumn id="20" name="Note"/>
    <tableColumn id="21" name="Source"/>
    <tableColumn id="22" name="Status"/>
    <tableColumn id="23" name="Dest Amount"/>
    <tableColumn id="24" name="Dest Currency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tblCat" displayName="tblCat" ref="B5:G27" headerRowCount="1">
  <autoFilter ref="B5:G27"/>
  <tableColumns count="6">
    <tableColumn id="2" name="Category ID"/>
    <tableColumn id="3" name="Type"/>
    <tableColumn id="4" name="Category"/>
    <tableColumn id="5" name="Cash Flow Group"/>
    <tableColumn id="6" name="Active"/>
    <tableColumn id="7" name="No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Inv" displayName="tblInv" ref="B5:T22" headerRowCount="1">
  <autoFilter ref="B5:T22"/>
  <tableColumns count="19">
    <tableColumn id="2" name="Asset"/>
    <tableColumn id="3" name="Market"/>
    <tableColumn id="4" name="Currency"/>
    <tableColumn id="5" name="Quantity (Official)"/>
    <tableColumn id="6" name="Qty from TX"/>
    <tableColumn id="7" name="Qty Diff"/>
    <tableColumn id="8" name="Average Cost"/>
    <tableColumn id="9" name="Cost Basis"/>
    <tableColumn id="10" name="Current Price"/>
    <tableColumn id="11" name="Price Source"/>
    <tableColumn id="12" name="Current Value (Local)"/>
    <tableColumn id="13" name="FX Rate"/>
    <tableColumn id="14" name="Cost Basis (THB)"/>
    <tableColumn id="15" name="Current Value (THB)"/>
    <tableColumn id="16" name="Profit/Loss (THB)"/>
    <tableColumn id="17" name="Return %"/>
    <tableColumn id="18" name="Allocation %"/>
    <tableColumn id="19" name="As-of Date"/>
    <tableColumn id="20" name="Status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6" name="tblInvTx" displayName="tblInvTx" ref="B5:P222" headerRowCount="1">
  <autoFilter ref="B5:P222"/>
  <tableColumns count="15">
    <tableColumn id="2" name="Inv TX ID"/>
    <tableColumn id="3" name="Date"/>
    <tableColumn id="4" name="Asset"/>
    <tableColumn id="5" name="Market"/>
    <tableColumn id="6" name="Transaction Type"/>
    <tableColumn id="7" name="Quantity"/>
    <tableColumn id="8" name="Price"/>
    <tableColumn id="9" name="Currency"/>
    <tableColumn id="10" name="FX Rate"/>
    <tableColumn id="11" name="THB Value"/>
    <tableColumn id="12" name="Fee"/>
    <tableColumn id="13" name="Cost Basis"/>
    <tableColumn id="14" name="Realized P/L"/>
    <tableColumn id="15" name="Source"/>
    <tableColumn id="16" name="Note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id="7" name="tblDCA" displayName="tblDCA" ref="B5:I35" headerRowCount="1">
  <autoFilter ref="B5:I35"/>
  <tableColumns count="8">
    <tableColumn id="2" name="Month"/>
    <tableColumn id="3" name="Asset"/>
    <tableColumn id="4" name="Target Amount"/>
    <tableColumn id="5" name="Actual Amount"/>
    <tableColumn id="6" name="Difference"/>
    <tableColumn id="7" name="Completion %"/>
    <tableColumn id="8" name="Status"/>
    <tableColumn id="9" name="Note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id="8" name="tblPVD" displayName="tblPVD" ref="B5:Q17" headerRowCount="1">
  <autoFilter ref="B5:Q17"/>
  <tableColumns count="16">
    <tableColumn id="2" name="Month"/>
    <tableColumn id="3" name="Salary (derived)"/>
    <tableColumn id="4" name="Employee %"/>
    <tableColumn id="5" name="Employee Contribution"/>
    <tableColumn id="6" name="Employer %"/>
    <tableColumn id="7" name="Employer Contribution"/>
    <tableColumn id="8" name="Employee Cum."/>
    <tableColumn id="9" name="Employer Cum."/>
    <tableColumn id="10" name="Employee Benefit"/>
    <tableColumn id="11" name="Employer Benefit"/>
    <tableColumn id="12" name="Total Contribution"/>
    <tableColumn id="13" name="Investment Gain/Loss"/>
    <tableColumn id="14" name="Ending Balance (Calculated)"/>
    <tableColumn id="15" name="Ending Balance (Reported)"/>
    <tableColumn id="16" name="Difference"/>
    <tableColumn id="17" name="Sourc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blBudget" displayName="tblBudget" ref="B5:I95" headerRowCount="1">
  <autoFilter ref="B5:I95"/>
  <tableColumns count="8">
    <tableColumn id="2" name="Month"/>
    <tableColumn id="3" name="Category"/>
    <tableColumn id="4" name="Budget"/>
    <tableColumn id="5" name="Actual"/>
    <tableColumn id="6" name="Difference"/>
    <tableColumn id="7" name="Usage %"/>
    <tableColumn id="8" name="Status"/>
    <tableColumn id="9" name="Note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id="10" name="tblTax" displayName="tblTax" ref="B5:Q8" headerRowCount="1">
  <autoFilter ref="B5:Q8"/>
  <tableColumns count="16">
    <tableColumn id="2" name="Tax Year"/>
    <tableColumn id="3" name="Income Type"/>
    <tableColumn id="4" name="Income Source"/>
    <tableColumn id="5" name="Amount"/>
    <tableColumn id="6" name="Deduction"/>
    <tableColumn id="7" name="Taxable Income"/>
    <tableColumn id="8" name="Withholding Tax"/>
    <tableColumn id="9" name="Foreign Income"/>
    <tableColumn id="10" name="FX Rate"/>
    <tableColumn id="11" name="THB Equivalent"/>
    <tableColumn id="12" name="Tax Paid"/>
    <tableColumn id="13" name="Tax Refund"/>
    <tableColumn id="14" name="Tax Payable"/>
    <tableColumn id="15" name="Status"/>
    <tableColumn id="16" name="Payment Date"/>
    <tableColumn id="17" name="Note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id="11" name="tblFX" displayName="tblFX" ref="B5:J24" headerRowCount="1">
  <autoFilter ref="B5:J24"/>
  <tableColumns count="9">
    <tableColumn id="2" name="Date"/>
    <tableColumn id="3" name="Currency Pair"/>
    <tableColumn id="4" name="Rate"/>
    <tableColumn id="5" name="Source"/>
    <tableColumn id="6" name="Transaction ID"/>
    <tableColumn id="7" name="Used For"/>
    <tableColumn id="8" name="Type"/>
    <tableColumn id="9" name="THB Amount"/>
    <tableColumn id="10" name="USD Amount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blDebt" displayName="tblDebt" ref="B5:L7" headerRowCount="1">
  <autoFilter ref="B5:L7"/>
  <tableColumns count="11">
    <tableColumn id="2" name="Debt ID"/>
    <tableColumn id="3" name="Creditor"/>
    <tableColumn id="4" name="Type"/>
    <tableColumn id="5" name="Original Amount"/>
    <tableColumn id="6" name="Outstanding"/>
    <tableColumn id="7" name="Interest Rate"/>
    <tableColumn id="8" name="Monthly Payment"/>
    <tableColumn id="9" name="Start Date"/>
    <tableColumn id="10" name="End Date"/>
    <tableColumn id="11" name="Status"/>
    <tableColumn id="12" name="Note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blNW" displayName="tblNW" ref="B5:Q20" headerRowCount="1">
  <autoFilter ref="B5:Q20"/>
  <tableColumns count="16">
    <tableColumn id="2" name="Date"/>
    <tableColumn id="3" name="Snapshot Type"/>
    <tableColumn id="4" name="Cash"/>
    <tableColumn id="5" name="US Stocks"/>
    <tableColumn id="6" name="SET"/>
    <tableColumn id="7" name="Gold"/>
    <tableColumn id="8" name="PVD"/>
    <tableColumn id="9" name="Other Assets"/>
    <tableColumn id="10" name="Total Assets"/>
    <tableColumn id="11" name="Debt"/>
    <tableColumn id="12" name="Net Worth (Calculated)"/>
    <tableColumn id="13" name="Net Worth (Reported)"/>
    <tableColumn id="14" name="Difference"/>
    <tableColumn id="15" name="Cumulative Invested (Cost)"/>
    <tableColumn id="16" name="Contributed Capital"/>
    <tableColumn id="17" name="Note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blForecast" displayName="tblForecast" ref="B5:M20" headerRowCount="1">
  <autoFilter ref="B5:M20"/>
  <tableColumns count="12">
    <tableColumn id="2" name="Year"/>
    <tableColumn id="3" name="Salary (Annual)"/>
    <tableColumn id="4" name="Employee PVD"/>
    <tableColumn id="5" name="Employer PVD"/>
    <tableColumn id="6" name="PVD Balance"/>
    <tableColumn id="7" name="DCA Investment"/>
    <tableColumn id="8" name="Estimated Investment Value"/>
    <tableColumn id="9" name="Cash Saving"/>
    <tableColumn id="10" name="Total Assets"/>
    <tableColumn id="11" name="Debt"/>
    <tableColumn id="12" name="Estimated Net Worth"/>
    <tableColumn id="13" name="YoY Growth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blInbox" displayName="tblInbox" ref="B5:U7" headerRowCount="1">
  <autoFilter ref="B5:U7"/>
  <tableColumns count="20">
    <tableColumn id="2" name="Inbox ID"/>
    <tableColumn id="3" name="Received Date"/>
    <tableColumn id="4" name="Source"/>
    <tableColumn id="5" name="Input Type"/>
    <tableColumn id="6" name="Raw Data"/>
    <tableColumn id="7" name="AI/OCR Result"/>
    <tableColumn id="8" name="Transaction Type"/>
    <tableColumn id="9" name="Amount"/>
    <tableColumn id="10" name="Currency"/>
    <tableColumn id="11" name="Date"/>
    <tableColumn id="12" name="Account"/>
    <tableColumn id="13" name="Category"/>
    <tableColumn id="14" name="Asset"/>
    <tableColumn id="15" name="Quantity"/>
    <tableColumn id="16" name="Price"/>
    <tableColumn id="17" name="Confidence"/>
    <tableColumn id="18" name="Status"/>
    <tableColumn id="19" name="Reviewed By"/>
    <tableColumn id="20" name="Review Date"/>
    <tableColumn id="21" name="Linked TX ID"/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id="16" name="tblSettings" displayName="tblSettings" ref="B5:G26" headerRowCount="1">
  <autoFilter ref="B5:G26"/>
  <tableColumns count="6">
    <tableColumn id="2" name="Key"/>
    <tableColumn id="3" name="Value"/>
    <tableColumn id="4" name="Unit"/>
    <tableColumn id="5" name="Category"/>
    <tableColumn id="6" name="Description"/>
    <tableColumn id="7" name="Last Updated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blLog" displayName="tblLog" ref="B5:N22" headerRowCount="1">
  <autoFilter ref="B5:N22"/>
  <tableColumns count="13">
    <tableColumn id="2" name="Log ID"/>
    <tableColumn id="3" name="Date"/>
    <tableColumn id="4" name="Rule"/>
    <tableColumn id="5" name="Type"/>
    <tableColumn id="6" name="Where"/>
    <tableColumn id="7" name="Conflict Description"/>
    <tableColumn id="8" name="Value A"/>
    <tableColumn id="9" name="Value B"/>
    <tableColumn id="10" name="Impact"/>
    <tableColumn id="11" name="Resolution"/>
    <tableColumn id="12" name="Decided By"/>
    <tableColumn id="13" name="Status"/>
    <tableColumn id="14" name="Evidence"/>
  </tableColumns>
  <tableStyleInfo name="TableStyleLight10" showFirstColumn="0" showLastColumn="0" showRowStripes="1" showColumnStripes="0"/>
</table>
</file>

<file path=xl/tables/table18.xml><?xml version="1.0" encoding="utf-8"?>
<table xmlns="http://schemas.openxmlformats.org/spreadsheetml/2006/main" id="18" name="tblPrice" displayName="tblPrice" ref="B5:J22" headerRowCount="1">
  <autoFilter ref="B5:J22"/>
  <tableColumns count="9">
    <tableColumn id="2" name="Ticker"/>
    <tableColumn id="3" name="Feed Symbol"/>
    <tableColumn id="4" name="Market"/>
    <tableColumn id="5" name="Live Price"/>
    <tableColumn id="6" name="Manual Price"/>
    <tableColumn id="7" name="Effective Price"/>
    <tableColumn id="8" name="Currency"/>
    <tableColumn id="9" name="Last Refresh"/>
    <tableColumn id="10" name="No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3.xml" Id="rId2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14.xml" Id="rId2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="http://schemas.openxmlformats.org/spreadsheetml/2006/main">
  <sheetPr>
    <tabColor rgb="000B3B8C"/>
    <outlinePr summaryBelow="1" summaryRight="1"/>
    <pageSetUpPr/>
  </sheetPr>
  <dimension ref="B2:Q113"/>
  <sheetViews>
    <sheetView showGridLines="0" tabSelected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.5" customWidth="1" min="1" max="1"/>
    <col width="2" customWidth="1" min="2" max="2"/>
    <col width="13.6" customWidth="1" min="3" max="3"/>
    <col width="13.6" customWidth="1" min="4" max="4"/>
    <col width="13.6" customWidth="1" min="5" max="5"/>
    <col width="13.6" customWidth="1" min="6" max="6"/>
    <col width="13.6" customWidth="1" min="7" max="7"/>
    <col width="13.6" customWidth="1" min="8" max="8"/>
    <col width="13.6" customWidth="1" min="9" max="9"/>
    <col width="13.6" customWidth="1" min="10" max="10"/>
    <col width="13.6" customWidth="1" min="11" max="11"/>
    <col width="13.6" customWidth="1" min="12" max="12"/>
    <col width="13.6" customWidth="1" min="13" max="13"/>
    <col width="13.6" customWidth="1" min="14" max="14"/>
    <col width="2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2" ht="30" customHeight="1">
      <c r="B2" s="1" t="n"/>
      <c r="C2" s="2" t="inlineStr">
        <is>
          <t>MY WEALTH</t>
        </is>
      </c>
      <c r="D2" s="3" t="n"/>
      <c r="E2" s="3" t="n"/>
      <c r="F2" s="3" t="n"/>
      <c r="G2" s="3" t="n"/>
      <c r="H2" s="3" t="n"/>
      <c r="I2" s="4" t="n"/>
      <c r="J2" s="5" t="inlineStr">
        <is>
          <t>เดือนที่แสดง</t>
        </is>
      </c>
      <c r="K2" s="3" t="n"/>
      <c r="L2" s="6">
        <f>" USD/THB  "&amp;TEXT(XLOOKUP("CURRENT_FX_USDTHB",tblSettings[Key],tblSettings[Value]),"0.0000")&amp;CHAR(10)&amp;" ต้นทุนแลกเฉลี่ย "&amp;TEXT(XLOOKUP("FX_AVG_COST",tblSettings[Key],tblSettings[Value]),"0.0000")</f>
        <v/>
      </c>
      <c r="M2" s="3" t="n"/>
      <c r="N2" s="7" t="n"/>
    </row>
    <row r="3" ht="16" customHeight="1">
      <c r="B3" s="8" t="n"/>
      <c r="C3" s="9" t="inlineStr">
        <is>
          <t>Personal Wealth Management — Financial Data Center v1</t>
        </is>
      </c>
      <c r="I3" s="10" t="n"/>
      <c r="J3" s="10" t="n"/>
      <c r="K3" s="10" t="n"/>
      <c r="N3" s="11" t="n"/>
    </row>
    <row r="4" ht="24" customHeight="1">
      <c r="B4" s="12" t="n"/>
      <c r="C4" s="13" t="inlineStr">
        <is>
          <t>Month ▸</t>
        </is>
      </c>
      <c r="D4" s="14" t="n">
        <v>46266</v>
      </c>
      <c r="E4" s="15" t="n"/>
      <c r="F4" s="15" t="n"/>
      <c r="G4" s="16" t="n"/>
      <c r="H4" s="17">
        <f>TEXT(TODAY(),"[$-th-TH]d mmmm yyyy")&amp;"  •  Snapshot: "&amp;XLOOKUP("SNAPSHOT_MODE",tblSettings[Key],tblSettings[Value])</f>
        <v/>
      </c>
      <c r="I4" s="15" t="n"/>
      <c r="J4" s="15" t="n"/>
      <c r="K4" s="15" t="n"/>
      <c r="L4" s="16" t="n"/>
      <c r="M4" s="16" t="n"/>
      <c r="N4" s="18" t="n"/>
    </row>
    <row r="6">
      <c r="C6" s="19" t="inlineStr">
        <is>
          <t>A · WEALTH OVERVIEW</t>
        </is>
      </c>
    </row>
    <row r="7">
      <c r="C7" s="20" t="inlineStr">
        <is>
          <t>TOTAL NET WORTH</t>
        </is>
      </c>
      <c r="D7" s="21" t="n"/>
      <c r="E7" s="22" t="n"/>
      <c r="F7" s="20" t="inlineStr">
        <is>
          <t>TOTAL ASSETS</t>
        </is>
      </c>
      <c r="G7" s="21" t="n"/>
      <c r="H7" s="22" t="n"/>
      <c r="I7" s="20" t="inlineStr">
        <is>
          <t>TOTAL DEBT</t>
        </is>
      </c>
      <c r="J7" s="21" t="n"/>
      <c r="K7" s="22" t="n"/>
      <c r="L7" s="20" t="inlineStr">
        <is>
          <t>WEALTH GROWTH (กำไรสะสม)</t>
        </is>
      </c>
      <c r="M7" s="21" t="n"/>
      <c r="N7" s="22" t="n"/>
    </row>
    <row r="8" ht="24" customHeight="1">
      <c r="C8" s="23">
        <f>(IFERROR(SUMIFS(tblAccounts[Current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Type],"Cash")*XLOOKUP("CURRENT_FX_USDTHB",tblSettings[Key],tblSettings[Value]),0)+IFERROR(SUMIFS(tblInv[Current Value (THB)],tblInv[Market],"US")+SUMIFS(tblInv[Current Value (THB)],tblInv[Market],"SET")+SUMIFS(tblInv[Current Value (THB)],tblInv[Market],"Commodity"),0)+IFERROR(SUMIFS(tblInv[Current Value (THB)],tblInv[Market],"PVD"),0))-IFERROR(SUMIFS(tblDebt[Outstanding],tblDebt[Status],"&lt;&gt;Closed"),0)</f>
        <v/>
      </c>
      <c r="E8" s="24" t="n"/>
      <c r="F8" s="25">
        <f>(IFERROR(SUMIFS(tblAccounts[Current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Type],"Cash")*XLOOKUP("CURRENT_FX_USDTHB",tblSettings[Key],tblSettings[Value]),0)+IFERROR(SUMIFS(tblInv[Current Value (THB)],tblInv[Market],"US")+SUMIFS(tblInv[Current Value (THB)],tblInv[Market],"SET")+SUMIFS(tblInv[Current Value (THB)],tblInv[Market],"Commodity"),0)+IFERROR(SUMIFS(tblInv[Current Value (THB)],tblInv[Market],"PVD"),0))</f>
        <v/>
      </c>
      <c r="H8" s="24" t="n"/>
      <c r="I8" s="26">
        <f>IFERROR(SUMIFS(tblDebt[Outstanding],tblDebt[Status],"&lt;&gt;Closed"),0)</f>
        <v/>
      </c>
      <c r="K8" s="24" t="n"/>
      <c r="L8" s="26">
        <f>IFERROR(SUM(tblInv[Profit/Loss (THB)])+SUMIFS(tblInvTx[Realized P/L],tblInvTx[Transaction Type],"Sell")*XLOOKUP("CURRENT_FX_USDTHB",tblSettings[Key],tblSettings[Value]),0)</f>
        <v/>
      </c>
      <c r="N8" s="24" t="n"/>
    </row>
    <row r="9" ht="14" customHeight="1">
      <c r="C9" s="27" t="n"/>
      <c r="E9" s="24" t="n"/>
      <c r="F9" s="27" t="n"/>
      <c r="H9" s="24" t="n"/>
      <c r="I9" s="27" t="n"/>
      <c r="K9" s="24" t="n"/>
      <c r="L9" s="27" t="n"/>
      <c r="N9" s="24" t="n"/>
    </row>
    <row r="10">
      <c r="C10" s="28">
        <f>"Cash "&amp;TEXT(IFERROR(SUMIFS(tblAccounts[Current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Type],"Cash")*XLOOKUP("CURRENT_FX_USDTHB",tblSettings[Key],tblSettings[Value]),0),"฿#,##0")&amp;"  •  รวมลงทุน "&amp;TEXT(IFERROR(SUMIFS(tblInv[Current Value (THB)],tblInv[Market],"US")+SUMIFS(tblInv[Current Value (THB)],tblInv[Market],"SET")+SUMIFS(tblInv[Current Value (THB)],tblInv[Market],"Commodity"),0)+IFERROR(SUMIFS(tblInv[Current Value (THB)],tblInv[Market],"PVD"),0),"฿#,##0")</f>
        <v/>
      </c>
      <c r="D10" s="29" t="n"/>
      <c r="E10" s="30" t="n"/>
      <c r="F10" s="28">
        <f>"Investment "&amp;TEXT(IFERROR(SUMIFS(tblInv[Current Value (THB)],tblInv[Market],"US")+SUMIFS(tblInv[Current Value (THB)],tblInv[Market],"SET")+SUMIFS(tblInv[Current Value (THB)],tblInv[Market],"Commodity"),0),"฿#,##0")</f>
        <v/>
      </c>
      <c r="G10" s="29" t="n"/>
      <c r="H10" s="30" t="n"/>
      <c r="I10" s="31">
        <f>"ไม่มีหนี้สิน ✓"</f>
        <v/>
      </c>
      <c r="J10" s="29" t="n"/>
      <c r="K10" s="30" t="n"/>
      <c r="L10" s="28">
        <f>"ยังไม่ขาย (Unrealized) + ขายแล้ว (Realized)"</f>
        <v/>
      </c>
      <c r="M10" s="29" t="n"/>
      <c r="N10" s="30" t="n"/>
    </row>
    <row r="12">
      <c r="C12" s="19" t="inlineStr">
        <is>
          <t>B · เงินที่ใช้ได้ตอนนี้</t>
        </is>
      </c>
      <c r="J12" s="19" t="inlineStr">
        <is>
          <t>D · SAVINGS RATE (Actual vs Target)</t>
        </is>
      </c>
    </row>
    <row r="13">
      <c r="C13" s="32" t="inlineStr">
        <is>
          <t xml:space="preserve">  💰  เงินที่ใช้ได้ตอนนี้</t>
        </is>
      </c>
      <c r="D13" s="33" t="n"/>
      <c r="E13" s="33" t="n"/>
      <c r="F13" s="33" t="n"/>
      <c r="G13" s="33" t="n"/>
      <c r="H13" s="34" t="n"/>
      <c r="J13" s="35" t="inlineStr">
        <is>
          <t xml:space="preserve">  Savings Rate</t>
        </is>
      </c>
      <c r="K13" s="21" t="n"/>
      <c r="L13" s="21" t="n"/>
      <c r="M13" s="21" t="n"/>
      <c r="N13" s="22" t="n"/>
    </row>
    <row r="14">
      <c r="C14" s="36" t="inlineStr">
        <is>
          <t xml:space="preserve">  จำนวนเงินสดที่สามารถใช้ได้จริงในปัจจุบัน (ไม่รวมเงินลงทุนและ PVD)</t>
        </is>
      </c>
      <c r="H14" s="37" t="n"/>
      <c r="J14" s="38">
        <f>((IFERROR(SUMIFS(tblTx[THB Equivalent],tblTx[Category],"Saving",tblTx[Date],"&gt;="&amp;DATE(YEAR($D$4),MONTH($D$4),1),tblTx[Date],"&lt;="&amp;EOMONTH($D$4,0)),0)+IFERROR(SUMIFS(tblTx[THB Equivalent],tblTx[Type],"PVD Contribution",tblTx[Date],"&gt;="&amp;DATE(YEAR($D$4),MONTH($D$4),1),tblTx[Date],"&lt;="&amp;EOMONTH($D$4,0)),0))/(XLOOKUP("BASE_SALARY",tblSettings[Key],tblSettings[Value])+XLOOKUP("TRAVEL_ALLOWANCE",tblSettings[Key],tblSettings[Value])+XLOOKUP("COST_OF_LIVING",tblSettings[Key],tblSettings[Value])))</f>
        <v/>
      </c>
      <c r="L14" s="39">
        <f>"Target  "&amp;TEXT(XLOOKUP("SAVINGS_TARGET_PCT",tblSettings[Key],tblSettings[Value]),"0.0%")</f>
        <v/>
      </c>
      <c r="N14" s="24" t="n"/>
    </row>
    <row r="15" ht="26" customHeight="1">
      <c r="C15" s="40">
        <f>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</f>
        <v/>
      </c>
      <c r="F15" s="41">
        <f>IF(IFERROR(SUMIFS(tblAccounts[Current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Type],"Cash")*XLOOKUP("CURRENT_FX_USDTHB",tblSettings[Key],tblSettings[Value]),0)&gt;=XLOOKUP("CASH_OK_THRESHOLD",tblSettings[Key],tblSettings[Value]),"🟢 เงินเหลือเพียงพอ",IF(IFERROR(SUMIFS(tblAccounts[Current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Type],"Cash")*XLOOKUP("CURRENT_FX_USDTHB",tblSettings[Key],tblSettings[Value]),0)&gt;=XLOOKUP("CASH_LOW_THRESHOLD",tblSettings[Key],tblSettings[Value]),"🟡 เงินเหลือระดับกลาง","🔴 เงินเหลือน้อย"))</f>
        <v/>
      </c>
      <c r="H15" s="37" t="n"/>
      <c r="J15" s="27" t="n"/>
      <c r="L15" s="42">
        <f>IF(((IFERROR(SUMIFS(tblTx[THB Equivalent],tblTx[Category],"Saving",tblTx[Date],"&gt;="&amp;DATE(YEAR($D$4),MONTH($D$4),1),tblTx[Date],"&lt;="&amp;EOMONTH($D$4,0)),0)+IFERROR(SUMIFS(tblTx[THB Equivalent],tblTx[Type],"PVD Contribution",tblTx[Date],"&gt;="&amp;DATE(YEAR($D$4),MONTH($D$4),1),tblTx[Date],"&lt;="&amp;EOMONTH($D$4,0)),0))/(XLOOKUP("BASE_SALARY",tblSettings[Key],tblSettings[Value])+XLOOKUP("TRAVEL_ALLOWANCE",tblSettings[Key],tblSettings[Value])+XLOOKUP("COST_OF_LIVING",tblSettings[Key],tblSettings[Value])))&gt;=XLOOKUP("SAVINGS_TARGET_PCT",tblSettings[Key],tblSettings[Value]),"✓ On Track","⚠ Below Target")</f>
        <v/>
      </c>
      <c r="N15" s="24" t="n"/>
    </row>
    <row r="16">
      <c r="C16" s="43" t="n"/>
      <c r="F16" s="44">
        <f>REPT("█",MIN(12,ROUND(MIN(1,IFERROR(SUMIFS(tblAccounts[Current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Type],"Cash")*XLOOKUP("CURRENT_FX_USDTHB",tblSettings[Key],tblSettings[Value]),0)/XLOOKUP("EMERGENCY_FUND_TARGET",tblSettings[Key],tblSettings[Value]))*12,0)))&amp;REPT("░",12-MIN(12,ROUND(MIN(1,IFERROR(SUMIFS(tblAccounts[Current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Type],"Cash")*XLOOKUP("CURRENT_FX_USDTHB",tblSettings[Key],tblSettings[Value]),0)/XLOOKUP("EMERGENCY_FUND_TARGET",tblSettings[Key],tblSettings[Value]))*12,0)))</f>
        <v/>
      </c>
      <c r="H16" s="37" t="n"/>
      <c r="J16" s="45" t="inlineStr">
        <is>
          <t xml:space="preserve">  Investment Rate</t>
        </is>
      </c>
      <c r="N16" s="24" t="n"/>
    </row>
    <row r="17">
      <c r="C17" s="46" t="n"/>
      <c r="D17" s="47" t="n"/>
      <c r="E17" s="47" t="n"/>
      <c r="F17" s="48">
        <f>"เทียบเป้าเงินสำรองฉุกเฉิน  "&amp;TEXT(IFERROR(SUMIFS(tblAccounts[Current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Type],"Cash")*XLOOKUP("CURRENT_FX_USDTHB",tblSettings[Key],tblSettings[Value]),0)/XLOOKUP("EMERGENCY_FUND_TARGET",tblSettings[Key],tblSettings[Value]),"0.0%")</f>
        <v/>
      </c>
      <c r="H17" s="37" t="n"/>
      <c r="J17" s="49">
        <f>(IFERROR(SUMIFS(tblInvTx[THB Value],tblInvTx[Transaction Type],"Buy",tblInvTx[Date],"&gt;="&amp;DATE(YEAR($D$4),MONTH($D$4),1),tblInvTx[Date],"&lt;="&amp;EOMONTH($D$4,0)),0)/(XLOOKUP("BASE_SALARY",tblSettings[Key],tblSettings[Value])+XLOOKUP("TRAVEL_ALLOWANCE",tblSettings[Key],tblSettings[Value])+XLOOKUP("COST_OF_LIVING",tblSettings[Key],tblSettings[Value])))</f>
        <v/>
      </c>
      <c r="L17" s="50">
        <f>"Target "&amp;TEXT(XLOOKUP("INVESTMENT_TARGET_PCT",tblSettings[Key],tblSettings[Value]),"0.0%")&amp;"  "&amp;IF((IFERROR(SUMIFS(tblInvTx[THB Value],tblInvTx[Transaction Type],"Buy",tblInvTx[Date],"&gt;="&amp;DATE(YEAR($D$4),MONTH($D$4),1),tblInvTx[Date],"&lt;="&amp;EOMONTH($D$4,0)),0)/(XLOOKUP("BASE_SALARY",tblSettings[Key],tblSettings[Value])+XLOOKUP("TRAVEL_ALLOWANCE",tblSettings[Key],tblSettings[Value])+XLOOKUP("COST_OF_LIVING",tblSettings[Key],tblSettings[Value])))&gt;=XLOOKUP("INVESTMENT_TARGET_PCT",tblSettings[Key],tblSettings[Value]),"✓","⚠")</f>
        <v/>
      </c>
      <c r="N17" s="24" t="n"/>
    </row>
    <row r="18">
      <c r="C18" s="51">
        <f>"SCB Salary Account"</f>
        <v/>
      </c>
      <c r="E18" s="52">
        <f>IFERROR(IF(XLOOKUP("SCB Salary Account",tblAccounts[Account Name],tblAccounts[Data Status])="Missing","N/A",XLOOKUP("SCB Salary Account",tblAccounts[Account Name],tblAccounts[Current Balance])),"N/A")</f>
        <v/>
      </c>
      <c r="F18" s="53">
        <f>"GSB Digital Savings Lottery"</f>
        <v/>
      </c>
      <c r="H18" s="54">
        <f>IFERROR(IF(XLOOKUP("GSB Digital Savings Lottery",tblAccounts[Account Name],tblAccounts[Data Status])="Missing","N/A",XLOOKUP("GSB Digital Savings Lottery",tblAccounts[Account Name],tblAccounts[Current Balance])),"N/A")</f>
        <v/>
      </c>
      <c r="J18" s="55">
        <f>"Monthly Savings"</f>
        <v/>
      </c>
      <c r="M18" s="56">
        <f>IFERROR(SUMIFS(tblTx[THB Equivalent],tblTx[Category],"Saving",tblTx[Date],"&gt;="&amp;DATE(YEAR($D$4),MONTH($D$4),1),tblTx[Date],"&lt;="&amp;EOMONTH($D$4,0)),0)</f>
        <v/>
      </c>
      <c r="N18" s="24" t="n"/>
    </row>
    <row r="19">
      <c r="C19" s="51">
        <f>"SCB Daily Living Account"</f>
        <v/>
      </c>
      <c r="E19" s="52">
        <f>IFERROR(IF(XLOOKUP("SCB Daily Living Account",tblAccounts[Account Name],tblAccounts[Data Status])="Missing","N/A",XLOOKUP("SCB Daily Living Account",tblAccounts[Account Name],tblAccounts[Current Balance])),"N/A")</f>
        <v/>
      </c>
      <c r="F19" s="53">
        <f>"Dime Save THB"</f>
        <v/>
      </c>
      <c r="H19" s="54">
        <f>IFERROR(IF(XLOOKUP("Dime Save THB",tblAccounts[Account Name],tblAccounts[Data Status])="Missing","N/A",XLOOKUP("Dime Save THB",tblAccounts[Account Name],tblAccounts[Current Balance])),"N/A")</f>
        <v/>
      </c>
      <c r="J19" s="55">
        <f>"Investment"</f>
        <v/>
      </c>
      <c r="M19" s="56">
        <f>IFERROR(SUMIFS(tblInvTx[THB Value],tblInvTx[Transaction Type],"Buy",tblInvTx[Date],"&gt;="&amp;DATE(YEAR($D$4),MONTH($D$4),1),tblInvTx[Date],"&lt;="&amp;EOMONTH($D$4,0)),0)</f>
        <v/>
      </c>
      <c r="N19" s="24" t="n"/>
    </row>
    <row r="20">
      <c r="C20" s="51">
        <f>"SCB Emergency Reserve Account"</f>
        <v/>
      </c>
      <c r="E20" s="52">
        <f>IFERROR(IF(XLOOKUP("SCB Emergency Reserve Account",tblAccounts[Account Name],tblAccounts[Data Status])="Missing","N/A",XLOOKUP("SCB Emergency Reserve Account",tblAccounts[Account Name],tblAccounts[Current Balance])),"N/A")</f>
        <v/>
      </c>
      <c r="F20" s="53">
        <f>"Dime FCD USD"</f>
        <v/>
      </c>
      <c r="H20" s="54">
        <f>IFERROR(IF(XLOOKUP("Dime FCD USD",tblAccounts[Account Name],tblAccounts[Data Status])="Missing","N/A",XLOOKUP("Dime FCD USD",tblAccounts[Account Name],tblAccounts[Current Balance])),"N/A")</f>
        <v/>
      </c>
      <c r="J20" s="55">
        <f>"Employee PVD"</f>
        <v/>
      </c>
      <c r="M20" s="56">
        <f>IFERROR(SUMIFS(tblTx[THB Equivalent],tblTx[Type],"PVD Contribution",tblTx[Date],"&gt;="&amp;DATE(YEAR($D$4),MONTH($D$4),1),tblTx[Date],"&lt;="&amp;EOMONTH($D$4,0)),0)</f>
        <v/>
      </c>
      <c r="N20" s="24" t="n"/>
    </row>
    <row r="21">
      <c r="C21" s="57">
        <f>"GSB Deposit Account"</f>
        <v/>
      </c>
      <c r="D21" s="58" t="n"/>
      <c r="E21" s="59">
        <f>IFERROR(IF(XLOOKUP("GSB Deposit Account",tblAccounts[Account Name],tblAccounts[Data Status])="Missing","N/A",XLOOKUP("GSB Deposit Account",tblAccounts[Account Name],tblAccounts[Current Balance])),"N/A")</f>
        <v/>
      </c>
      <c r="F21" s="60">
        <f>"Dime USD"</f>
        <v/>
      </c>
      <c r="G21" s="58" t="n"/>
      <c r="H21" s="61">
        <f>IFERROR(IF(XLOOKUP("Dime USD",tblAccounts[Account Name],tblAccounts[Data Status])="Missing","N/A",XLOOKUP("Dime USD",tblAccounts[Account Name],tblAccounts[Current Balance])),"N/A")</f>
        <v/>
      </c>
      <c r="J21" s="28">
        <f>"Employer PVD (ไม่กระทบเงินถึงมือ)  "&amp;TEXT(IFERROR(SUMIFS(tblTx[THB Equivalent],tblTx[Type],"PVD Employer",tblTx[Date],"&gt;="&amp;DATE(YEAR($D$4),MONTH($D$4),1),tblTx[Date],"&lt;="&amp;EOMONTH($D$4,0)),0),"฿#,##0")</f>
        <v/>
      </c>
      <c r="K21" s="29" t="n"/>
      <c r="L21" s="29" t="n"/>
      <c r="M21" s="29" t="n"/>
      <c r="N21" s="30" t="n"/>
    </row>
    <row r="22">
      <c r="F22" s="62">
        <f>"Dime Accrued Interest"</f>
        <v/>
      </c>
      <c r="H22" s="63">
        <f>IFERROR(IF(XLOOKUP("Dime Accrued Interest",tblAccounts[Account Name],tblAccounts[Data Status])="Missing","N/A",XLOOKUP("Dime Accrued Interest",tblAccounts[Account Name],tblAccounts[Current Balance])),"N/A")</f>
        <v/>
      </c>
    </row>
    <row r="23">
      <c r="C23" s="19" t="inlineStr">
        <is>
          <t>C · MONTHLY CASH FLOW</t>
        </is>
      </c>
      <c r="J23" s="19" t="inlineStr">
        <is>
          <t>E · INVESTMENT OVERVIEW</t>
        </is>
      </c>
    </row>
    <row r="24">
      <c r="C24" s="64" t="inlineStr">
        <is>
          <t xml:space="preserve">  รายการ</t>
        </is>
      </c>
      <c r="D24" s="21" t="n"/>
      <c r="E24" s="21" t="n"/>
      <c r="F24" s="65" t="inlineStr">
        <is>
          <t>Plan</t>
        </is>
      </c>
      <c r="G24" s="66" t="inlineStr">
        <is>
          <t>Actual</t>
        </is>
      </c>
      <c r="H24" s="22" t="n"/>
      <c r="J24" s="67" t="inlineStr">
        <is>
          <t xml:space="preserve">  US Stocks</t>
        </is>
      </c>
      <c r="K24" s="21" t="n"/>
      <c r="L24" s="21" t="n"/>
      <c r="M24" s="68">
        <f>IFERROR(IFERROR(SUMIFS(tblInv[Current Value (THB)],tblInv[Market],"US"),0)/(IFERROR(SUMIFS(tblInv[Current Value (THB)],tblInv[Market],"US")+SUMIFS(tblInv[Current Value (THB)],tblInv[Market],"SET")+SUMIFS(tblInv[Current Value (THB)],tblInv[Market],"Commodity"),0)+IFERROR(SUMIFS(tblInv[Current Value (THB)],tblInv[Market],"PVD"),0)),0)</f>
        <v/>
      </c>
      <c r="N24" s="22" t="n"/>
    </row>
    <row r="25" ht="20" customHeight="1">
      <c r="C25" s="69" t="inlineStr">
        <is>
          <t xml:space="preserve">  รายรับ</t>
        </is>
      </c>
      <c r="H25" s="24" t="n"/>
      <c r="J25" s="70">
        <f>IFERROR(SUMIFS(tblInv[Current Value (THB)],tblInv[Market],"US"),0)</f>
        <v/>
      </c>
      <c r="M25" s="71">
        <f>IFERROR(SUMIFS(tblInv[Profit/Loss (THB)],tblInv[Market],"US"),0)</f>
        <v/>
      </c>
      <c r="N25" s="24" t="n"/>
    </row>
    <row r="26">
      <c r="C26" s="72" t="inlineStr">
        <is>
          <t xml:space="preserve">    Salary</t>
        </is>
      </c>
      <c r="F26" s="73">
        <f>XLOOKUP("BASE_SALARY",tblSettings[Key],tblSettings[Value])</f>
        <v/>
      </c>
      <c r="G26" s="74">
        <f>IFERROR(SUMIFS(tblTx[THB Equivalent],tblTx[Subcategory],"Salary",tblTx[Date],"&gt;="&amp;DATE(YEAR($D$4),MONTH($D$4),1),tblTx[Date],"&lt;="&amp;EOMONTH($D$4,0)),0)</f>
        <v/>
      </c>
      <c r="H26" s="24" t="n"/>
      <c r="J26" s="27" t="n"/>
      <c r="M26" s="75">
        <f>IFERROR(IFERROR(SUMIFS(tblInv[Profit/Loss (THB)],tblInv[Market],"US"),0)/IFERROR(SUMIFS(tblInv[Cost Basis (THB)],tblInv[Market],"US"),0),0)</f>
        <v/>
      </c>
      <c r="N26" s="24" t="n"/>
    </row>
    <row r="27">
      <c r="C27" s="72" t="inlineStr">
        <is>
          <t xml:space="preserve">    Travel Allowance</t>
        </is>
      </c>
      <c r="F27" s="73">
        <f>XLOOKUP("TRAVEL_ALLOWANCE",tblSettings[Key],tblSettings[Value])</f>
        <v/>
      </c>
      <c r="G27" s="74">
        <f>IFERROR(SUMIFS(tblTx[THB Equivalent],tblTx[Subcategory],"Travel Allowance",tblTx[Date],"&gt;="&amp;DATE(YEAR($D$4),MONTH($D$4),1),tblTx[Date],"&lt;="&amp;EOMONTH($D$4,0)),0)</f>
        <v/>
      </c>
      <c r="H27" s="24" t="n"/>
      <c r="J27" s="55">
        <f>"Cost  "&amp;TEXT(IFERROR(SUMIFS(tblInv[Cost Basis (THB)],tblInv[Market],"US"),0),"฿#,##0")</f>
        <v/>
      </c>
      <c r="M27" s="76">
        <f>"Allocation"</f>
        <v/>
      </c>
      <c r="N27" s="24" t="n"/>
    </row>
    <row r="28">
      <c r="C28" s="72" t="inlineStr">
        <is>
          <t xml:space="preserve">    Cost of Living</t>
        </is>
      </c>
      <c r="F28" s="73">
        <f>XLOOKUP("COST_OF_LIVING",tblSettings[Key],tblSettings[Value])</f>
        <v/>
      </c>
      <c r="G28" s="74">
        <f>IFERROR(SUMIFS(tblTx[THB Equivalent],tblTx[Subcategory],"Cost of Living",tblTx[Date],"&gt;="&amp;DATE(YEAR($D$4),MONTH($D$4),1),tblTx[Date],"&lt;="&amp;EOMONTH($D$4,0)),0)</f>
        <v/>
      </c>
      <c r="H28" s="24" t="n"/>
      <c r="J28" s="77" t="n"/>
      <c r="K28" s="78" t="n"/>
      <c r="L28" s="78" t="n"/>
      <c r="M28" s="78" t="n"/>
      <c r="N28" s="79" t="n"/>
    </row>
    <row r="29">
      <c r="C29" s="72" t="inlineStr">
        <is>
          <t xml:space="preserve">    Freelance</t>
        </is>
      </c>
      <c r="F29" s="73" t="n">
        <v>0</v>
      </c>
      <c r="G29" s="74">
        <f>IFERROR(SUMIFS(tblTx[THB Equivalent],tblTx[Subcategory],"Freelance",tblTx[Date],"&gt;="&amp;DATE(YEAR($D$4),MONTH($D$4),1),tblTx[Date],"&lt;="&amp;EOMONTH($D$4,0)),0)</f>
        <v/>
      </c>
      <c r="H29" s="24" t="n"/>
    </row>
    <row r="30">
      <c r="C30" s="72" t="inlineStr">
        <is>
          <t xml:space="preserve">    Bonus</t>
        </is>
      </c>
      <c r="F30" s="73" t="n">
        <v>0</v>
      </c>
      <c r="G30" s="74">
        <f>IFERROR(SUMIFS(tblTx[THB Equivalent],tblTx[Subcategory],"Bonus",tblTx[Date],"&gt;="&amp;DATE(YEAR($D$4),MONTH($D$4),1),tblTx[Date],"&lt;="&amp;EOMONTH($D$4,0)),0)</f>
        <v/>
      </c>
      <c r="H30" s="24" t="n"/>
      <c r="J30" s="67" t="inlineStr">
        <is>
          <t xml:space="preserve">  Thai Stocks / SET</t>
        </is>
      </c>
      <c r="K30" s="21" t="n"/>
      <c r="L30" s="21" t="n"/>
      <c r="M30" s="68">
        <f>IFERROR(IFERROR(SUMIFS(tblInv[Current Value (THB)],tblInv[Market],"SET"),0)/(IFERROR(SUMIFS(tblInv[Current Value (THB)],tblInv[Market],"US")+SUMIFS(tblInv[Current Value (THB)],tblInv[Market],"SET")+SUMIFS(tblInv[Current Value (THB)],tblInv[Market],"Commodity"),0)+IFERROR(SUMIFS(tblInv[Current Value (THB)],tblInv[Market],"PVD"),0)),0)</f>
        <v/>
      </c>
      <c r="N30" s="22" t="n"/>
    </row>
    <row r="31" ht="20" customHeight="1">
      <c r="C31" s="72" t="inlineStr">
        <is>
          <t xml:space="preserve">    Interest</t>
        </is>
      </c>
      <c r="F31" s="73" t="n">
        <v>0</v>
      </c>
      <c r="G31" s="74">
        <f>IFERROR(SUMIFS(tblTx[THB Equivalent],tblTx[Type],"Interest",tblTx[Date],"&gt;="&amp;DATE(YEAR($D$4),MONTH($D$4),1),tblTx[Date],"&lt;="&amp;EOMONTH($D$4,0)),0)</f>
        <v/>
      </c>
      <c r="H31" s="24" t="n"/>
      <c r="J31" s="70">
        <f>IFERROR(SUMIFS(tblInv[Current Value (THB)],tblInv[Market],"SET"),0)</f>
        <v/>
      </c>
      <c r="M31" s="71">
        <f>IFERROR(SUMIFS(tblInv[Profit/Loss (THB)],tblInv[Market],"SET"),0)</f>
        <v/>
      </c>
      <c r="N31" s="24" t="n"/>
    </row>
    <row r="32">
      <c r="C32" s="72" t="inlineStr">
        <is>
          <t xml:space="preserve">    Dividend</t>
        </is>
      </c>
      <c r="F32" s="73" t="n">
        <v>0</v>
      </c>
      <c r="G32" s="74">
        <f>IFERROR(SUMIFS(tblTx[THB Equivalent],tblTx[Type],"Dividend",tblTx[Date],"&gt;="&amp;DATE(YEAR($D$4),MONTH($D$4),1),tblTx[Date],"&lt;="&amp;EOMONTH($D$4,0)),0)</f>
        <v/>
      </c>
      <c r="H32" s="24" t="n"/>
      <c r="J32" s="27" t="n"/>
      <c r="M32" s="75">
        <f>IFERROR(IFERROR(SUMIFS(tblInv[Profit/Loss (THB)],tblInv[Market],"SET"),0)/IFERROR(SUMIFS(tblInv[Cost Basis (THB)],tblInv[Market],"SET"),0),0)</f>
        <v/>
      </c>
      <c r="N32" s="24" t="n"/>
    </row>
    <row r="33">
      <c r="C33" s="72" t="inlineStr">
        <is>
          <t xml:space="preserve">    Other Income</t>
        </is>
      </c>
      <c r="F33" s="73" t="n">
        <v>0</v>
      </c>
      <c r="G33" s="74">
        <f>IFERROR(SUMIFS(tblTx[THB Equivalent],tblTx[Subcategory],"Other Income",tblTx[Date],"&gt;="&amp;DATE(YEAR($D$4),MONTH($D$4),1),tblTx[Date],"&lt;="&amp;EOMONTH($D$4,0)),0)</f>
        <v/>
      </c>
      <c r="H33" s="24" t="n"/>
      <c r="J33" s="55">
        <f>"Cost  "&amp;TEXT(IFERROR(SUMIFS(tblInv[Cost Basis (THB)],tblInv[Market],"SET"),0),"฿#,##0")</f>
        <v/>
      </c>
      <c r="M33" s="76">
        <f>"Allocation"</f>
        <v/>
      </c>
      <c r="N33" s="24" t="n"/>
    </row>
    <row r="34">
      <c r="C34" s="80" t="inlineStr">
        <is>
          <t xml:space="preserve">    รวมรายรับ</t>
        </is>
      </c>
      <c r="F34" s="81">
        <f>SUM(F26:F33)</f>
        <v/>
      </c>
      <c r="G34" s="82">
        <f>SUM(G26:G33)</f>
        <v/>
      </c>
      <c r="H34" s="24" t="n"/>
      <c r="J34" s="77" t="n"/>
      <c r="K34" s="78" t="n"/>
      <c r="L34" s="78" t="n"/>
      <c r="M34" s="78" t="n"/>
      <c r="N34" s="79" t="n"/>
    </row>
    <row r="35">
      <c r="C35" s="83" t="n"/>
      <c r="D35" s="47" t="n"/>
      <c r="E35" s="47" t="n"/>
      <c r="F35" s="47" t="n"/>
      <c r="G35" s="47" t="n"/>
      <c r="H35" s="84" t="n"/>
    </row>
    <row r="36">
      <c r="C36" s="85" t="inlineStr">
        <is>
          <t xml:space="preserve">  รายจ่าย</t>
        </is>
      </c>
      <c r="H36" s="24" t="n"/>
      <c r="J36" s="67" t="inlineStr">
        <is>
          <t xml:space="preserve">  Gold</t>
        </is>
      </c>
      <c r="K36" s="21" t="n"/>
      <c r="L36" s="21" t="n"/>
      <c r="M36" s="68">
        <f>IFERROR(IFERROR(SUMIFS(tblInv[Current Value (THB)],tblInv[Market],"Commodity"),0)/(IFERROR(SUMIFS(tblInv[Current Value (THB)],tblInv[Market],"US")+SUMIFS(tblInv[Current Value (THB)],tblInv[Market],"SET")+SUMIFS(tblInv[Current Value (THB)],tblInv[Market],"Commodity"),0)+IFERROR(SUMIFS(tblInv[Current Value (THB)],tblInv[Market],"PVD"),0)),0)</f>
        <v/>
      </c>
      <c r="N36" s="22" t="n"/>
    </row>
    <row r="37" ht="20" customHeight="1">
      <c r="C37" s="72" t="inlineStr">
        <is>
          <t xml:space="preserve">    Daily Expenses</t>
        </is>
      </c>
      <c r="F37" s="73">
        <f>IFERROR(SUMIFS(tblBudget[Budget],tblBudget[Month],DATE(YEAR($D$4),MONTH($D$4),1),tblBudget[Category],"Daily Expenses"),0)</f>
        <v/>
      </c>
      <c r="G37" s="74">
        <f>IFERROR(SUMIFS(tblTx[THB Equivalent],tblTx[Subcategory],"Daily Expenses",tblTx[Date],"&gt;="&amp;DATE(YEAR($D$4),MONTH($D$4),1),tblTx[Date],"&lt;="&amp;EOMONTH($D$4,0)),0)</f>
        <v/>
      </c>
      <c r="H37" s="24" t="n"/>
      <c r="J37" s="70">
        <f>IFERROR(SUMIFS(tblInv[Current Value (THB)],tblInv[Market],"Commodity"),0)</f>
        <v/>
      </c>
      <c r="M37" s="71">
        <f>IFERROR(SUMIFS(tblInv[Profit/Loss (THB)],tblInv[Market],"Commodity"),0)</f>
        <v/>
      </c>
      <c r="N37" s="24" t="n"/>
    </row>
    <row r="38">
      <c r="C38" s="72" t="inlineStr">
        <is>
          <t xml:space="preserve">    Cat</t>
        </is>
      </c>
      <c r="F38" s="73">
        <f>IFERROR(SUMIFS(tblBudget[Budget],tblBudget[Month],DATE(YEAR($D$4),MONTH($D$4),1),tblBudget[Category],"Cat"),0)</f>
        <v/>
      </c>
      <c r="G38" s="74">
        <f>IFERROR(SUMIFS(tblTx[THB Equivalent],tblTx[Subcategory],"Cat",tblTx[Date],"&gt;="&amp;DATE(YEAR($D$4),MONTH($D$4),1),tblTx[Date],"&lt;="&amp;EOMONTH($D$4,0)),0)</f>
        <v/>
      </c>
      <c r="H38" s="24" t="n"/>
      <c r="J38" s="27" t="n"/>
      <c r="M38" s="75">
        <f>IFERROR(IFERROR(SUMIFS(tblInv[Profit/Loss (THB)],tblInv[Market],"Commodity"),0)/IFERROR(SUMIFS(tblInv[Cost Basis (THB)],tblInv[Market],"Commodity"),0),0)</f>
        <v/>
      </c>
      <c r="N38" s="24" t="n"/>
    </row>
    <row r="39">
      <c r="C39" s="72" t="inlineStr">
        <is>
          <t xml:space="preserve">    Parking</t>
        </is>
      </c>
      <c r="F39" s="73">
        <f>IFERROR(SUMIFS(tblBudget[Budget],tblBudget[Month],DATE(YEAR($D$4),MONTH($D$4),1),tblBudget[Category],"Parking"),0)</f>
        <v/>
      </c>
      <c r="G39" s="74">
        <f>IFERROR(SUMIFS(tblTx[THB Equivalent],tblTx[Subcategory],"Parking",tblTx[Date],"&gt;="&amp;DATE(YEAR($D$4),MONTH($D$4),1),tblTx[Date],"&lt;="&amp;EOMONTH($D$4,0)),0)</f>
        <v/>
      </c>
      <c r="H39" s="24" t="n"/>
      <c r="J39" s="55">
        <f>"Cost  "&amp;TEXT(IFERROR(SUMIFS(tblInv[Cost Basis (THB)],tblInv[Market],"Commodity"),0),"฿#,##0")</f>
        <v/>
      </c>
      <c r="M39" s="76">
        <f>"Allocation"</f>
        <v/>
      </c>
      <c r="N39" s="24" t="n"/>
    </row>
    <row r="40">
      <c r="C40" s="72" t="inlineStr">
        <is>
          <t xml:space="preserve">    Other Expenses</t>
        </is>
      </c>
      <c r="F40" s="73" t="n">
        <v>0</v>
      </c>
      <c r="G40" s="74">
        <f>IFERROR(SUMIFS(tblTx[THB Equivalent],tblTx[Subcategory],"Other Expenses",tblTx[Date],"&gt;="&amp;DATE(YEAR($D$4),MONTH($D$4),1),tblTx[Date],"&lt;="&amp;EOMONTH($D$4,0)),0)</f>
        <v/>
      </c>
      <c r="H40" s="24" t="n"/>
      <c r="J40" s="77" t="n"/>
      <c r="K40" s="78" t="n"/>
      <c r="L40" s="78" t="n"/>
      <c r="M40" s="78" t="n"/>
      <c r="N40" s="79" t="n"/>
    </row>
    <row r="41">
      <c r="C41" s="86" t="inlineStr">
        <is>
          <t xml:space="preserve">    รวมรายจ่าย</t>
        </is>
      </c>
      <c r="F41" s="87">
        <f>SUM(F37:F40)</f>
        <v/>
      </c>
      <c r="G41" s="88">
        <f>SUM(G37:G40)</f>
        <v/>
      </c>
      <c r="H41" s="24" t="n"/>
    </row>
    <row r="42">
      <c r="C42" s="83" t="n"/>
      <c r="D42" s="47" t="n"/>
      <c r="E42" s="47" t="n"/>
      <c r="F42" s="47" t="n"/>
      <c r="G42" s="47" t="n"/>
      <c r="H42" s="84" t="n"/>
      <c r="J42" s="67" t="inlineStr">
        <is>
          <t xml:space="preserve">  PVD</t>
        </is>
      </c>
      <c r="K42" s="21" t="n"/>
      <c r="L42" s="21" t="n"/>
      <c r="M42" s="68">
        <f>IFERROR(IFERROR(SUMIFS(tblInv[Current Value (THB)],tblInv[Market],"PVD"),0)/(IFERROR(SUMIFS(tblInv[Current Value (THB)],tblInv[Market],"US")+SUMIFS(tblInv[Current Value (THB)],tblInv[Market],"SET")+SUMIFS(tblInv[Current Value (THB)],tblInv[Market],"Commodity"),0)+IFERROR(SUMIFS(tblInv[Current Value (THB)],tblInv[Market],"PVD"),0)),0)</f>
        <v/>
      </c>
      <c r="N42" s="22" t="n"/>
    </row>
    <row r="43" ht="20" customHeight="1">
      <c r="C43" s="89" t="inlineStr">
        <is>
          <t xml:space="preserve">  Saving / Investment</t>
        </is>
      </c>
      <c r="H43" s="24" t="n"/>
      <c r="J43" s="70">
        <f>IFERROR(SUMIFS(tblInv[Current Value (THB)],tblInv[Market],"PVD"),0)</f>
        <v/>
      </c>
      <c r="M43" s="71">
        <f>IFERROR(SUMIFS(tblInv[Profit/Loss (THB)],tblInv[Market],"PVD"),0)</f>
        <v/>
      </c>
      <c r="N43" s="24" t="n"/>
    </row>
    <row r="44">
      <c r="C44" s="72" t="inlineStr">
        <is>
          <t xml:space="preserve">    Employee PVD</t>
        </is>
      </c>
      <c r="F44" s="73">
        <f>IFERROR(SUMIFS(tblBudget[Budget],tblBudget[Month],DATE(YEAR($D$4),MONTH($D$4),1),tblBudget[Category],"PVD"),0)</f>
        <v/>
      </c>
      <c r="G44" s="74">
        <f>IFERROR(SUMIFS(tblTx[THB Equivalent],tblTx[Type],"PVD Contribution",tblTx[Date],"&gt;="&amp;DATE(YEAR($D$4),MONTH($D$4),1),tblTx[Date],"&lt;="&amp;EOMONTH($D$4,0)),0)</f>
        <v/>
      </c>
      <c r="H44" s="24" t="n"/>
      <c r="J44" s="27" t="n"/>
      <c r="M44" s="75">
        <f>IFERROR(IFERROR(SUMIFS(tblInv[Profit/Loss (THB)],tblInv[Market],"PVD"),0)/IFERROR(SUMIFS(tblInv[Cost Basis (THB)],tblInv[Market],"PVD"),0),0)</f>
        <v/>
      </c>
      <c r="N44" s="24" t="n"/>
    </row>
    <row r="45">
      <c r="C45" s="72" t="inlineStr">
        <is>
          <t xml:space="preserve">    Dime Investment</t>
        </is>
      </c>
      <c r="F45" s="73">
        <f>IFERROR(SUMIFS(tblBudget[Budget],tblBudget[Month],DATE(YEAR($D$4),MONTH($D$4),1),tblBudget[Category],"US Stocks"),0)</f>
        <v/>
      </c>
      <c r="G45" s="74">
        <f>IFERROR(SUMIFS(tblInvTx[THB Value],tblInvTx[Transaction Type],"Buy",tblInvTx[Date],"&gt;="&amp;DATE(YEAR($D$4),MONTH($D$4),1),tblInvTx[Date],"&lt;="&amp;EOMONTH($D$4,0)),0)</f>
        <v/>
      </c>
      <c r="H45" s="24" t="n"/>
      <c r="J45" s="55">
        <f>"Cost  "&amp;TEXT(IFERROR(SUMIFS(tblInv[Cost Basis (THB)],tblInv[Market],"PVD"),0),"฿#,##0")</f>
        <v/>
      </c>
      <c r="M45" s="76">
        <f>"Allocation"</f>
        <v/>
      </c>
      <c r="N45" s="24" t="n"/>
    </row>
    <row r="46">
      <c r="C46" s="72" t="inlineStr">
        <is>
          <t xml:space="preserve">    Investment Reserve</t>
        </is>
      </c>
      <c r="F46" s="73">
        <f>IFERROR(SUMIFS(tblBudget[Budget],tblBudget[Month],DATE(YEAR($D$4),MONTH($D$4),1),tblBudget[Category],"Investment Reserve"),0)</f>
        <v/>
      </c>
      <c r="G46" s="74">
        <f>IFERROR(SUMIFS(tblTx[THB Equivalent],tblTx[Subcategory],"Investment Reserve",tblTx[Date],"&gt;="&amp;DATE(YEAR($D$4),MONTH($D$4),1),tblTx[Date],"&lt;="&amp;EOMONTH($D$4,0)),0)</f>
        <v/>
      </c>
      <c r="H46" s="24" t="n"/>
      <c r="J46" s="77" t="n"/>
      <c r="K46" s="78" t="n"/>
      <c r="L46" s="78" t="n"/>
      <c r="M46" s="78" t="n"/>
      <c r="N46" s="79" t="n"/>
    </row>
    <row r="47">
      <c r="C47" s="72" t="inlineStr">
        <is>
          <t xml:space="preserve">    Other Saving</t>
        </is>
      </c>
      <c r="F47" s="73" t="n">
        <v>0</v>
      </c>
      <c r="G47" s="74">
        <f>IFERROR(SUMIFS(tblTx[THB Equivalent],tblTx[Subcategory],"Other Saving",tblTx[Date],"&gt;="&amp;DATE(YEAR($D$4),MONTH($D$4),1),tblTx[Date],"&lt;="&amp;EOMONTH($D$4,0)),0)</f>
        <v/>
      </c>
      <c r="H47" s="24" t="n"/>
      <c r="J47" s="90" t="inlineStr">
        <is>
          <t>⚠ Mixed-Date: US 14 ก.ย. / SET 17 มิ.ย. (เก่า 3 เดือน) / Gold 20 ส.ค. (ปิดสถานะ) / PVD ก.ย. 69</t>
        </is>
      </c>
    </row>
    <row r="48">
      <c r="C48" s="91" t="inlineStr">
        <is>
          <t xml:space="preserve">    รวมSaving / Investment</t>
        </is>
      </c>
      <c r="D48" s="29" t="n"/>
      <c r="E48" s="29" t="n"/>
      <c r="F48" s="92">
        <f>SUM(F44:F47)</f>
        <v/>
      </c>
      <c r="G48" s="93">
        <f>SUM(G44:G47)</f>
        <v/>
      </c>
      <c r="H48" s="30" t="n"/>
    </row>
    <row r="50">
      <c r="C50" s="94" t="inlineStr">
        <is>
          <t xml:space="preserve">  เงินเหลือ (Remaining Cash)</t>
        </is>
      </c>
      <c r="D50" s="33" t="n"/>
      <c r="E50" s="33" t="n"/>
      <c r="F50" s="95">
        <f>F34-F41-F48</f>
        <v/>
      </c>
      <c r="G50" s="96">
        <f>G34-G41-G48</f>
        <v/>
      </c>
      <c r="H50" s="34" t="n"/>
    </row>
    <row r="51">
      <c r="C51" s="97" t="n"/>
      <c r="D51" s="58" t="n"/>
      <c r="E51" s="58" t="n"/>
      <c r="F51" s="58" t="n"/>
      <c r="G51" s="58" t="n"/>
      <c r="H51" s="98" t="n"/>
    </row>
    <row r="52">
      <c r="C52" s="62" t="inlineStr">
        <is>
          <t>สูตร: Income − Expense − Saving/Investment = Remaining Cash (Transfer ระหว่างบัญชีตัวเองไม่นับทั้งสองฝั่ง)</t>
        </is>
      </c>
    </row>
    <row r="54">
      <c r="C54" s="19" t="inlineStr">
        <is>
          <t>F · DCA STATUS (เดือนที่เลือก)</t>
        </is>
      </c>
    </row>
    <row r="55">
      <c r="C55" s="67" t="inlineStr">
        <is>
          <t xml:space="preserve">  US Stocks</t>
        </is>
      </c>
      <c r="D55" s="21" t="n"/>
      <c r="E55" s="21" t="n"/>
      <c r="F55" s="99">
        <f>"Target "&amp;TEXT(XLOOKUP("DCA_US_STOCKS",tblSettings[Key],tblSettings[Value]),"฿#,##0")</f>
        <v/>
      </c>
      <c r="G55" s="100">
        <f>"Actual "&amp;TEXT(IFERROR(SUMIFS(tblInvTx[THB Value],tblInvTx[Transaction Type],"Buy",tblInvTx[Date],"&gt;="&amp;DATE(YEAR($D$4),MONTH($D$4),1),tblInvTx[Date],"&lt;="&amp;EOMONTH($D$4,0)),0),"฿#,##0")</f>
        <v/>
      </c>
      <c r="H55" s="22" t="n"/>
    </row>
    <row r="56">
      <c r="C56" s="101">
        <f>REPT("█",ROUND(MIN(1,IFERROR(IFERROR(SUMIFS(tblInvTx[THB Value],tblInvTx[Transaction Type],"Buy",tblInvTx[Date],"&gt;="&amp;DATE(YEAR($D$4),MONTH($D$4),1),tblInvTx[Date],"&lt;="&amp;EOMONTH($D$4,0)),0)/XLOOKUP("DCA_US_STOCKS",tblSettings[Key],tblSettings[Value]),0))*20,0))&amp;REPT("░",20-ROUND(MIN(1,IFERROR(IFERROR(SUMIFS(tblInvTx[THB Value],tblInvTx[Transaction Type],"Buy",tblInvTx[Date],"&gt;="&amp;DATE(YEAR($D$4),MONTH($D$4),1),tblInvTx[Date],"&lt;="&amp;EOMONTH($D$4,0)),0)/XLOOKUP("DCA_US_STOCKS",tblSettings[Key],tblSettings[Value]),0))*20,0))</f>
        <v/>
      </c>
      <c r="G56" s="102">
        <f>IFERROR(IFERROR(SUMIFS(tblInvTx[THB Value],tblInvTx[Transaction Type],"Buy",tblInvTx[Date],"&gt;="&amp;DATE(YEAR($D$4),MONTH($D$4),1),tblInvTx[Date],"&lt;="&amp;EOMONTH($D$4,0)),0)/XLOOKUP("DCA_US_STOCKS",tblSettings[Key],tblSettings[Value]),0)</f>
        <v/>
      </c>
      <c r="H56" s="103">
        <f>IF(IFERROR(IFERROR(SUMIFS(tblInvTx[THB Value],tblInvTx[Transaction Type],"Buy",tblInvTx[Date],"&gt;="&amp;DATE(YEAR($D$4),MONTH($D$4),1),tblInvTx[Date],"&lt;="&amp;EOMONTH($D$4,0)),0)/XLOOKUP("DCA_US_STOCKS",tblSettings[Key],tblSettings[Value]),0)&gt;=1,"✓",IF(IFERROR(IFERROR(SUMIFS(tblInvTx[THB Value],tblInvTx[Transaction Type],"Buy",tblInvTx[Date],"&gt;="&amp;DATE(YEAR($D$4),MONTH($D$4),1),tblInvTx[Date],"&lt;="&amp;EOMONTH($D$4,0)),0)/XLOOKUP("DCA_US_STOCKS",tblSettings[Key],tblSettings[Value]),0)&gt;=0.8,"⚠","✗"))</f>
        <v/>
      </c>
    </row>
    <row r="57">
      <c r="C57" s="28">
        <f>"  "&amp;TEXT(IFERROR(SUMIFS(tblInvTx[THB Value],tblInvTx[Transaction Type],"Buy",tblInvTx[Date],"&gt;="&amp;DATE(YEAR($D$4),MONTH($D$4),1),tblInvTx[Date],"&lt;="&amp;EOMONTH($D$4,0)),0),"#,##0")&amp;" / "&amp;TEXT(XLOOKUP("DCA_US_STOCKS",tblSettings[Key],tblSettings[Value]),"#,##0")&amp;"  บาท"</f>
        <v/>
      </c>
      <c r="D57" s="29" t="n"/>
      <c r="E57" s="29" t="n"/>
      <c r="F57" s="29" t="n"/>
      <c r="G57" s="29" t="n"/>
      <c r="H57" s="30" t="n"/>
    </row>
    <row r="59">
      <c r="C59" s="67" t="inlineStr">
        <is>
          <t xml:space="preserve">  Investment Reserve</t>
        </is>
      </c>
      <c r="D59" s="21" t="n"/>
      <c r="E59" s="21" t="n"/>
      <c r="F59" s="99">
        <f>"Target "&amp;TEXT(XLOOKUP("DCA_INVEST_RESERVE",tblSettings[Key],tblSettings[Value]),"฿#,##0")</f>
        <v/>
      </c>
      <c r="G59" s="100">
        <f>"Actual "&amp;TEXT(IFERROR(SUMIFS(tblTx[THB Equivalent],tblTx[Subcategory],"Investment Reserve",tblTx[Date],"&gt;="&amp;DATE(YEAR($D$4),MONTH($D$4),1),tblTx[Date],"&lt;="&amp;EOMONTH($D$4,0)),0),"฿#,##0")</f>
        <v/>
      </c>
      <c r="H59" s="22" t="n"/>
    </row>
    <row r="60">
      <c r="C60" s="101">
        <f>REPT("█",ROUND(MIN(1,IFERROR(IFERROR(SUMIFS(tblTx[THB Equivalent],tblTx[Subcategory],"Investment Reserve",tblTx[Date],"&gt;="&amp;DATE(YEAR($D$4),MONTH($D$4),1),tblTx[Date],"&lt;="&amp;EOMONTH($D$4,0)),0)/XLOOKUP("DCA_INVEST_RESERVE",tblSettings[Key],tblSettings[Value]),0))*20,0))&amp;REPT("░",20-ROUND(MIN(1,IFERROR(IFERROR(SUMIFS(tblTx[THB Equivalent],tblTx[Subcategory],"Investment Reserve",tblTx[Date],"&gt;="&amp;DATE(YEAR($D$4),MONTH($D$4),1),tblTx[Date],"&lt;="&amp;EOMONTH($D$4,0)),0)/XLOOKUP("DCA_INVEST_RESERVE",tblSettings[Key],tblSettings[Value]),0))*20,0))</f>
        <v/>
      </c>
      <c r="G60" s="102">
        <f>IFERROR(IFERROR(SUMIFS(tblTx[THB Equivalent],tblTx[Subcategory],"Investment Reserve",tblTx[Date],"&gt;="&amp;DATE(YEAR($D$4),MONTH($D$4),1),tblTx[Date],"&lt;="&amp;EOMONTH($D$4,0)),0)/XLOOKUP("DCA_INVEST_RESERVE",tblSettings[Key],tblSettings[Value]),0)</f>
        <v/>
      </c>
      <c r="H60" s="103">
        <f>IF(IFERROR(IFERROR(SUMIFS(tblTx[THB Equivalent],tblTx[Subcategory],"Investment Reserve",tblTx[Date],"&gt;="&amp;DATE(YEAR($D$4),MONTH($D$4),1),tblTx[Date],"&lt;="&amp;EOMONTH($D$4,0)),0)/XLOOKUP("DCA_INVEST_RESERVE",tblSettings[Key],tblSettings[Value]),0)&gt;=1,"✓",IF(IFERROR(IFERROR(SUMIFS(tblTx[THB Equivalent],tblTx[Subcategory],"Investment Reserve",tblTx[Date],"&gt;="&amp;DATE(YEAR($D$4),MONTH($D$4),1),tblTx[Date],"&lt;="&amp;EOMONTH($D$4,0)),0)/XLOOKUP("DCA_INVEST_RESERVE",tblSettings[Key],tblSettings[Value]),0)&gt;=0.8,"⚠","✗"))</f>
        <v/>
      </c>
    </row>
    <row r="61">
      <c r="C61" s="28">
        <f>"  "&amp;TEXT(IFERROR(SUMIFS(tblTx[THB Equivalent],tblTx[Subcategory],"Investment Reserve",tblTx[Date],"&gt;="&amp;DATE(YEAR($D$4),MONTH($D$4),1),tblTx[Date],"&lt;="&amp;EOMONTH($D$4,0)),0),"#,##0")&amp;" / "&amp;TEXT(XLOOKUP("DCA_INVEST_RESERVE",tblSettings[Key],tblSettings[Value]),"#,##0")&amp;"  บาท"</f>
        <v/>
      </c>
      <c r="D61" s="29" t="n"/>
      <c r="E61" s="29" t="n"/>
      <c r="F61" s="29" t="n"/>
      <c r="G61" s="29" t="n"/>
      <c r="H61" s="30" t="n"/>
    </row>
    <row r="63">
      <c r="C63" s="19" t="inlineStr">
        <is>
          <t>G · ACCOUNT OVERVIEW</t>
        </is>
      </c>
    </row>
    <row r="64">
      <c r="C64" s="104" t="inlineStr">
        <is>
          <t>Account Name</t>
        </is>
      </c>
      <c r="D64" s="105" t="n"/>
      <c r="E64" s="105" t="n"/>
      <c r="F64" s="106" t="inlineStr">
        <is>
          <t>Institution</t>
        </is>
      </c>
      <c r="G64" s="105" t="n"/>
      <c r="H64" s="106" t="inlineStr">
        <is>
          <t>Balance</t>
        </is>
      </c>
      <c r="I64" s="105" t="n"/>
      <c r="J64" s="106" t="inlineStr">
        <is>
          <t>Currency</t>
        </is>
      </c>
      <c r="K64" s="106" t="inlineStr">
        <is>
          <t>Last Updated</t>
        </is>
      </c>
      <c r="L64" s="105" t="n"/>
      <c r="M64" s="106" t="inlineStr">
        <is>
          <t>Status</t>
        </is>
      </c>
      <c r="N64" s="105" t="n"/>
    </row>
    <row r="65">
      <c r="C65" s="107" t="inlineStr">
        <is>
          <t xml:space="preserve">  SCB</t>
        </is>
      </c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</row>
    <row r="66">
      <c r="C66" s="109" t="inlineStr">
        <is>
          <t xml:space="preserve">    SCB Salary Account</t>
        </is>
      </c>
      <c r="D66" s="110" t="n"/>
      <c r="E66" s="110" t="n"/>
      <c r="F66" s="111">
        <f>IFERROR(XLOOKUP("SCB Salary Account",tblAccounts[Account Name],tblAccounts[Institution]),"")</f>
        <v/>
      </c>
      <c r="G66" s="110" t="n"/>
      <c r="H66" s="112">
        <f>IFERROR(IF(XLOOKUP("SCB Salary Account",tblAccounts[Account Name],tblAccounts[Data Status])="Missing","N/A",XLOOKUP("SCB Salary Account",tblAccounts[Account Name],tblAccounts[Current Balance])),"N/A")</f>
        <v/>
      </c>
      <c r="I66" s="110" t="n"/>
      <c r="J66" s="111">
        <f>IFERROR(XLOOKUP("SCB Salary Account",tblAccounts[Account Name],tblAccounts[Currency]),"")</f>
        <v/>
      </c>
      <c r="K66" s="113">
        <f>IFERROR(XLOOKUP("SCB Salary Account",tblAccounts[Account Name],tblAccounts[Last Updated]),"N/A")</f>
        <v/>
      </c>
      <c r="L66" s="110" t="n"/>
      <c r="M66" s="114">
        <f>IFERROR(XLOOKUP("SCB Salary Account",tblAccounts[Account Name],tblAccounts[Status]),"")</f>
        <v/>
      </c>
      <c r="N66" s="110" t="n"/>
    </row>
    <row r="67">
      <c r="C67" s="109" t="inlineStr">
        <is>
          <t xml:space="preserve">    SCB Daily Living Account</t>
        </is>
      </c>
      <c r="D67" s="110" t="n"/>
      <c r="E67" s="110" t="n"/>
      <c r="F67" s="111">
        <f>IFERROR(XLOOKUP("SCB Daily Living Account",tblAccounts[Account Name],tblAccounts[Institution]),"")</f>
        <v/>
      </c>
      <c r="G67" s="110" t="n"/>
      <c r="H67" s="112">
        <f>IFERROR(IF(XLOOKUP("SCB Daily Living Account",tblAccounts[Account Name],tblAccounts[Data Status])="Missing","N/A",XLOOKUP("SCB Daily Living Account",tblAccounts[Account Name],tblAccounts[Current Balance])),"N/A")</f>
        <v/>
      </c>
      <c r="I67" s="110" t="n"/>
      <c r="J67" s="111">
        <f>IFERROR(XLOOKUP("SCB Daily Living Account",tblAccounts[Account Name],tblAccounts[Currency]),"")</f>
        <v/>
      </c>
      <c r="K67" s="113">
        <f>IFERROR(XLOOKUP("SCB Daily Living Account",tblAccounts[Account Name],tblAccounts[Last Updated]),"N/A")</f>
        <v/>
      </c>
      <c r="L67" s="110" t="n"/>
      <c r="M67" s="114">
        <f>IFERROR(XLOOKUP("SCB Daily Living Account",tblAccounts[Account Name],tblAccounts[Status]),"")</f>
        <v/>
      </c>
      <c r="N67" s="110" t="n"/>
    </row>
    <row r="68">
      <c r="C68" s="109" t="inlineStr">
        <is>
          <t xml:space="preserve">    SCB Emergency Reserve Account</t>
        </is>
      </c>
      <c r="D68" s="110" t="n"/>
      <c r="E68" s="110" t="n"/>
      <c r="F68" s="111">
        <f>IFERROR(XLOOKUP("SCB Emergency Reserve Account",tblAccounts[Account Name],tblAccounts[Institution]),"")</f>
        <v/>
      </c>
      <c r="G68" s="110" t="n"/>
      <c r="H68" s="112">
        <f>IFERROR(IF(XLOOKUP("SCB Emergency Reserve Account",tblAccounts[Account Name],tblAccounts[Data Status])="Missing","N/A",XLOOKUP("SCB Emergency Reserve Account",tblAccounts[Account Name],tblAccounts[Current Balance])),"N/A")</f>
        <v/>
      </c>
      <c r="I68" s="110" t="n"/>
      <c r="J68" s="111">
        <f>IFERROR(XLOOKUP("SCB Emergency Reserve Account",tblAccounts[Account Name],tblAccounts[Currency]),"")</f>
        <v/>
      </c>
      <c r="K68" s="113">
        <f>IFERROR(XLOOKUP("SCB Emergency Reserve Account",tblAccounts[Account Name],tblAccounts[Last Updated]),"N/A")</f>
        <v/>
      </c>
      <c r="L68" s="110" t="n"/>
      <c r="M68" s="114">
        <f>IFERROR(XLOOKUP("SCB Emergency Reserve Account",tblAccounts[Account Name],tblAccounts[Status]),"")</f>
        <v/>
      </c>
      <c r="N68" s="110" t="n"/>
    </row>
    <row r="69">
      <c r="C69" s="107" t="inlineStr">
        <is>
          <t xml:space="preserve">  Government Savings Bank</t>
        </is>
      </c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</row>
    <row r="70">
      <c r="C70" s="109" t="inlineStr">
        <is>
          <t xml:space="preserve">    GSB Deposit Account</t>
        </is>
      </c>
      <c r="D70" s="110" t="n"/>
      <c r="E70" s="110" t="n"/>
      <c r="F70" s="111">
        <f>IFERROR(XLOOKUP("GSB Deposit Account",tblAccounts[Account Name],tblAccounts[Institution]),"")</f>
        <v/>
      </c>
      <c r="G70" s="110" t="n"/>
      <c r="H70" s="112">
        <f>IFERROR(IF(XLOOKUP("GSB Deposit Account",tblAccounts[Account Name],tblAccounts[Data Status])="Missing","N/A",XLOOKUP("GSB Deposit Account",tblAccounts[Account Name],tblAccounts[Current Balance])),"N/A")</f>
        <v/>
      </c>
      <c r="I70" s="110" t="n"/>
      <c r="J70" s="111">
        <f>IFERROR(XLOOKUP("GSB Deposit Account",tblAccounts[Account Name],tblAccounts[Currency]),"")</f>
        <v/>
      </c>
      <c r="K70" s="113">
        <f>IFERROR(XLOOKUP("GSB Deposit Account",tblAccounts[Account Name],tblAccounts[Last Updated]),"N/A")</f>
        <v/>
      </c>
      <c r="L70" s="110" t="n"/>
      <c r="M70" s="114">
        <f>IFERROR(XLOOKUP("GSB Deposit Account",tblAccounts[Account Name],tblAccounts[Status]),"")</f>
        <v/>
      </c>
      <c r="N70" s="110" t="n"/>
    </row>
    <row r="71">
      <c r="C71" s="109" t="inlineStr">
        <is>
          <t xml:space="preserve">    GSB Digital Savings Lottery</t>
        </is>
      </c>
      <c r="D71" s="110" t="n"/>
      <c r="E71" s="110" t="n"/>
      <c r="F71" s="111">
        <f>IFERROR(XLOOKUP("GSB Digital Savings Lottery",tblAccounts[Account Name],tblAccounts[Institution]),"")</f>
        <v/>
      </c>
      <c r="G71" s="110" t="n"/>
      <c r="H71" s="112">
        <f>IFERROR(IF(XLOOKUP("GSB Digital Savings Lottery",tblAccounts[Account Name],tblAccounts[Data Status])="Missing","N/A",XLOOKUP("GSB Digital Savings Lottery",tblAccounts[Account Name],tblAccounts[Current Balance])),"N/A")</f>
        <v/>
      </c>
      <c r="I71" s="110" t="n"/>
      <c r="J71" s="111">
        <f>IFERROR(XLOOKUP("GSB Digital Savings Lottery",tblAccounts[Account Name],tblAccounts[Currency]),"")</f>
        <v/>
      </c>
      <c r="K71" s="113">
        <f>IFERROR(XLOOKUP("GSB Digital Savings Lottery",tblAccounts[Account Name],tblAccounts[Last Updated]),"N/A")</f>
        <v/>
      </c>
      <c r="L71" s="110" t="n"/>
      <c r="M71" s="114">
        <f>IFERROR(XLOOKUP("GSB Digital Savings Lottery",tblAccounts[Account Name],tblAccounts[Status]),"")</f>
        <v/>
      </c>
      <c r="N71" s="110" t="n"/>
    </row>
    <row r="72">
      <c r="C72" s="107" t="inlineStr">
        <is>
          <t xml:space="preserve">  Dime</t>
        </is>
      </c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</row>
    <row r="73">
      <c r="C73" s="109" t="inlineStr">
        <is>
          <t xml:space="preserve">    Dime Save THB</t>
        </is>
      </c>
      <c r="D73" s="110" t="n"/>
      <c r="E73" s="110" t="n"/>
      <c r="F73" s="111">
        <f>IFERROR(XLOOKUP("Dime Save THB",tblAccounts[Account Name],tblAccounts[Institution]),"")</f>
        <v/>
      </c>
      <c r="G73" s="110" t="n"/>
      <c r="H73" s="112">
        <f>IFERROR(IF(XLOOKUP("Dime Save THB",tblAccounts[Account Name],tblAccounts[Data Status])="Missing","N/A",XLOOKUP("Dime Save THB",tblAccounts[Account Name],tblAccounts[Current Balance])),"N/A")</f>
        <v/>
      </c>
      <c r="I73" s="110" t="n"/>
      <c r="J73" s="111">
        <f>IFERROR(XLOOKUP("Dime Save THB",tblAccounts[Account Name],tblAccounts[Currency]),"")</f>
        <v/>
      </c>
      <c r="K73" s="113">
        <f>IFERROR(XLOOKUP("Dime Save THB",tblAccounts[Account Name],tblAccounts[Last Updated]),"N/A")</f>
        <v/>
      </c>
      <c r="L73" s="110" t="n"/>
      <c r="M73" s="114">
        <f>IFERROR(XLOOKUP("Dime Save THB",tblAccounts[Account Name],tblAccounts[Status]),"")</f>
        <v/>
      </c>
      <c r="N73" s="110" t="n"/>
    </row>
    <row r="74">
      <c r="C74" s="109" t="inlineStr">
        <is>
          <t xml:space="preserve">    Dime FCD USD</t>
        </is>
      </c>
      <c r="D74" s="110" t="n"/>
      <c r="E74" s="110" t="n"/>
      <c r="F74" s="111">
        <f>IFERROR(XLOOKUP("Dime FCD USD",tblAccounts[Account Name],tblAccounts[Institution]),"")</f>
        <v/>
      </c>
      <c r="G74" s="110" t="n"/>
      <c r="H74" s="112">
        <f>IFERROR(IF(XLOOKUP("Dime FCD USD",tblAccounts[Account Name],tblAccounts[Data Status])="Missing","N/A",XLOOKUP("Dime FCD USD",tblAccounts[Account Name],tblAccounts[Current Balance])),"N/A")</f>
        <v/>
      </c>
      <c r="I74" s="110" t="n"/>
      <c r="J74" s="111">
        <f>IFERROR(XLOOKUP("Dime FCD USD",tblAccounts[Account Name],tblAccounts[Currency]),"")</f>
        <v/>
      </c>
      <c r="K74" s="113">
        <f>IFERROR(XLOOKUP("Dime FCD USD",tblAccounts[Account Name],tblAccounts[Last Updated]),"N/A")</f>
        <v/>
      </c>
      <c r="L74" s="110" t="n"/>
      <c r="M74" s="114">
        <f>IFERROR(XLOOKUP("Dime FCD USD",tblAccounts[Account Name],tblAccounts[Status]),"")</f>
        <v/>
      </c>
      <c r="N74" s="110" t="n"/>
    </row>
    <row r="75">
      <c r="C75" s="109" t="inlineStr">
        <is>
          <t xml:space="preserve">    Dime USD</t>
        </is>
      </c>
      <c r="D75" s="110" t="n"/>
      <c r="E75" s="110" t="n"/>
      <c r="F75" s="111">
        <f>IFERROR(XLOOKUP("Dime USD",tblAccounts[Account Name],tblAccounts[Institution]),"")</f>
        <v/>
      </c>
      <c r="G75" s="110" t="n"/>
      <c r="H75" s="112">
        <f>IFERROR(IF(XLOOKUP("Dime USD",tblAccounts[Account Name],tblAccounts[Data Status])="Missing","N/A",XLOOKUP("Dime USD",tblAccounts[Account Name],tblAccounts[Current Balance])),"N/A")</f>
        <v/>
      </c>
      <c r="I75" s="110" t="n"/>
      <c r="J75" s="111">
        <f>IFERROR(XLOOKUP("Dime USD",tblAccounts[Account Name],tblAccounts[Currency]),"")</f>
        <v/>
      </c>
      <c r="K75" s="113">
        <f>IFERROR(XLOOKUP("Dime USD",tblAccounts[Account Name],tblAccounts[Last Updated]),"N/A")</f>
        <v/>
      </c>
      <c r="L75" s="110" t="n"/>
      <c r="M75" s="114">
        <f>IFERROR(XLOOKUP("Dime USD",tblAccounts[Account Name],tblAccounts[Status]),"")</f>
        <v/>
      </c>
      <c r="N75" s="110" t="n"/>
    </row>
    <row r="76">
      <c r="C76" s="109" t="inlineStr">
        <is>
          <t xml:space="preserve">    Dime Accrued Interest</t>
        </is>
      </c>
      <c r="D76" s="110" t="n"/>
      <c r="E76" s="110" t="n"/>
      <c r="F76" s="111">
        <f>IFERROR(XLOOKUP("Dime Accrued Interest",tblAccounts[Account Name],tblAccounts[Institution]),"")</f>
        <v/>
      </c>
      <c r="G76" s="110" t="n"/>
      <c r="H76" s="112">
        <f>IFERROR(IF(XLOOKUP("Dime Accrued Interest",tblAccounts[Account Name],tblAccounts[Data Status])="Missing","N/A",XLOOKUP("Dime Accrued Interest",tblAccounts[Account Name],tblAccounts[Current Balance])),"N/A")</f>
        <v/>
      </c>
      <c r="I76" s="110" t="n"/>
      <c r="J76" s="111">
        <f>IFERROR(XLOOKUP("Dime Accrued Interest",tblAccounts[Account Name],tblAccounts[Currency]),"")</f>
        <v/>
      </c>
      <c r="K76" s="113">
        <f>IFERROR(XLOOKUP("Dime Accrued Interest",tblAccounts[Account Name],tblAccounts[Last Updated]),"N/A")</f>
        <v/>
      </c>
      <c r="L76" s="110" t="n"/>
      <c r="M76" s="114">
        <f>IFERROR(XLOOKUP("Dime Accrued Interest",tblAccounts[Account Name],tblAccounts[Status]),"")</f>
        <v/>
      </c>
      <c r="N76" s="110" t="n"/>
    </row>
    <row r="77">
      <c r="C77" s="109" t="inlineStr">
        <is>
          <t xml:space="preserve">    Dime SET</t>
        </is>
      </c>
      <c r="D77" s="110" t="n"/>
      <c r="E77" s="110" t="n"/>
      <c r="F77" s="111">
        <f>IFERROR(XLOOKUP("Dime SET",tblAccounts[Account Name],tblAccounts[Institution]),"")</f>
        <v/>
      </c>
      <c r="G77" s="110" t="n"/>
      <c r="H77" s="112">
        <f>IFERROR(IF(XLOOKUP("Dime SET",tblAccounts[Account Name],tblAccounts[Data Status])="Missing","N/A",XLOOKUP("Dime SET",tblAccounts[Account Name],tblAccounts[Current Balance])),"N/A")</f>
        <v/>
      </c>
      <c r="I77" s="110" t="n"/>
      <c r="J77" s="111">
        <f>IFERROR(XLOOKUP("Dime SET",tblAccounts[Account Name],tblAccounts[Currency]),"")</f>
        <v/>
      </c>
      <c r="K77" s="113">
        <f>IFERROR(XLOOKUP("Dime SET",tblAccounts[Account Name],tblAccounts[Last Updated]),"N/A")</f>
        <v/>
      </c>
      <c r="L77" s="110" t="n"/>
      <c r="M77" s="114">
        <f>IFERROR(XLOOKUP("Dime SET",tblAccounts[Account Name],tblAccounts[Status]),"")</f>
        <v/>
      </c>
      <c r="N77" s="110" t="n"/>
    </row>
    <row r="78">
      <c r="C78" s="109" t="inlineStr">
        <is>
          <t xml:space="preserve">    Dime US Stocks</t>
        </is>
      </c>
      <c r="D78" s="110" t="n"/>
      <c r="E78" s="110" t="n"/>
      <c r="F78" s="111">
        <f>IFERROR(XLOOKUP("Dime US Stocks",tblAccounts[Account Name],tblAccounts[Institution]),"")</f>
        <v/>
      </c>
      <c r="G78" s="110" t="n"/>
      <c r="H78" s="112">
        <f>IFERROR(IF(XLOOKUP("Dime US Stocks",tblAccounts[Account Name],tblAccounts[Data Status])="Missing","N/A",XLOOKUP("Dime US Stocks",tblAccounts[Account Name],tblAccounts[Current Balance])),"N/A")</f>
        <v/>
      </c>
      <c r="I78" s="110" t="n"/>
      <c r="J78" s="111">
        <f>IFERROR(XLOOKUP("Dime US Stocks",tblAccounts[Account Name],tblAccounts[Currency]),"")</f>
        <v/>
      </c>
      <c r="K78" s="113">
        <f>IFERROR(XLOOKUP("Dime US Stocks",tblAccounts[Account Name],tblAccounts[Last Updated]),"N/A")</f>
        <v/>
      </c>
      <c r="L78" s="110" t="n"/>
      <c r="M78" s="114">
        <f>IFERROR(XLOOKUP("Dime US Stocks",tblAccounts[Account Name],tblAccounts[Status]),"")</f>
        <v/>
      </c>
      <c r="N78" s="110" t="n"/>
    </row>
    <row r="79">
      <c r="C79" s="109" t="inlineStr">
        <is>
          <t xml:space="preserve">    Dime Gold</t>
        </is>
      </c>
      <c r="D79" s="110" t="n"/>
      <c r="E79" s="110" t="n"/>
      <c r="F79" s="111">
        <f>IFERROR(XLOOKUP("Dime Gold",tblAccounts[Account Name],tblAccounts[Institution]),"")</f>
        <v/>
      </c>
      <c r="G79" s="110" t="n"/>
      <c r="H79" s="112">
        <f>IFERROR(IF(XLOOKUP("Dime Gold",tblAccounts[Account Name],tblAccounts[Data Status])="Missing","N/A",XLOOKUP("Dime Gold",tblAccounts[Account Name],tblAccounts[Current Balance])),"N/A")</f>
        <v/>
      </c>
      <c r="I79" s="110" t="n"/>
      <c r="J79" s="111">
        <f>IFERROR(XLOOKUP("Dime Gold",tblAccounts[Account Name],tblAccounts[Currency]),"")</f>
        <v/>
      </c>
      <c r="K79" s="113">
        <f>IFERROR(XLOOKUP("Dime Gold",tblAccounts[Account Name],tblAccounts[Last Updated]),"N/A")</f>
        <v/>
      </c>
      <c r="L79" s="110" t="n"/>
      <c r="M79" s="114">
        <f>IFERROR(XLOOKUP("Dime Gold",tblAccounts[Account Name],tblAccounts[Status]),"")</f>
        <v/>
      </c>
      <c r="N79" s="110" t="n"/>
    </row>
    <row r="80">
      <c r="C80" s="107" t="inlineStr">
        <is>
          <t xml:space="preserve">  PVD</t>
        </is>
      </c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</row>
    <row r="81">
      <c r="C81" s="109" t="inlineStr">
        <is>
          <t xml:space="preserve">    PVD</t>
        </is>
      </c>
      <c r="D81" s="110" t="n"/>
      <c r="E81" s="110" t="n"/>
      <c r="F81" s="111">
        <f>IFERROR(XLOOKUP("PVD",tblAccounts[Account Name],tblAccounts[Institution]),"")</f>
        <v/>
      </c>
      <c r="G81" s="110" t="n"/>
      <c r="H81" s="112">
        <f>IFERROR(IF(XLOOKUP("PVD",tblAccounts[Account Name],tblAccounts[Data Status])="Missing","N/A",XLOOKUP("PVD",tblAccounts[Account Name],tblAccounts[Current Balance])),"N/A")</f>
        <v/>
      </c>
      <c r="I81" s="110" t="n"/>
      <c r="J81" s="111">
        <f>IFERROR(XLOOKUP("PVD",tblAccounts[Account Name],tblAccounts[Currency]),"")</f>
        <v/>
      </c>
      <c r="K81" s="113">
        <f>IFERROR(XLOOKUP("PVD",tblAccounts[Account Name],tblAccounts[Last Updated]),"N/A")</f>
        <v/>
      </c>
      <c r="L81" s="110" t="n"/>
      <c r="M81" s="114">
        <f>IFERROR(XLOOKUP("PVD",tblAccounts[Account Name],tblAccounts[Status]),"")</f>
        <v/>
      </c>
      <c r="N81" s="110" t="n"/>
    </row>
    <row r="83">
      <c r="C83" s="19" t="inlineStr">
        <is>
          <t>H · ASSET ALLOCATION &amp; WEALTH GROWTH</t>
        </is>
      </c>
    </row>
    <row r="84">
      <c r="P84" s="115" t="inlineStr">
        <is>
          <t>Asset Allocation</t>
        </is>
      </c>
    </row>
    <row r="85">
      <c r="P85" t="inlineStr">
        <is>
          <t>Cash</t>
        </is>
      </c>
      <c r="Q85" s="116">
        <f>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</f>
        <v/>
      </c>
    </row>
    <row r="86">
      <c r="P86" t="inlineStr">
        <is>
          <t>Investment</t>
        </is>
      </c>
      <c r="Q86" s="116">
        <f>IFERROR(SUMIFS(tblInv[Current Value (THB)],tblInv[Market],"US")+SUMIFS(tblInv[Current Value (THB)],tblInv[Market],"SET")+SUMIFS(tblInv[Current Value (THB)],tblInv[Market],"Commodity"),0)</f>
        <v/>
      </c>
    </row>
    <row r="87">
      <c r="P87" t="inlineStr">
        <is>
          <t>PVD</t>
        </is>
      </c>
      <c r="Q87" s="116">
        <f>IFERROR(SUMIFS(tblInv[Current Value (THB)],tblInv[Market],"PVD"),0)</f>
        <v/>
      </c>
    </row>
    <row r="88">
      <c r="P88" t="inlineStr">
        <is>
          <t>Other Assets</t>
        </is>
      </c>
      <c r="Q88" s="116">
        <f>0</f>
        <v/>
      </c>
    </row>
    <row r="90">
      <c r="P90" s="115" t="inlineStr">
        <is>
          <t>Investment Allocation</t>
        </is>
      </c>
    </row>
    <row r="91">
      <c r="P91" t="inlineStr">
        <is>
          <t>US Stocks</t>
        </is>
      </c>
      <c r="Q91" s="116">
        <f>IFERROR(SUMIFS(tblInv[Current Value (THB)],tblInv[Market],"US"),0)</f>
        <v/>
      </c>
    </row>
    <row r="92">
      <c r="P92" t="inlineStr">
        <is>
          <t>SET</t>
        </is>
      </c>
      <c r="Q92" s="116">
        <f>IFERROR(SUMIFS(tblInv[Current Value (THB)],tblInv[Market],"SET"),0)</f>
        <v/>
      </c>
    </row>
    <row r="93">
      <c r="P93" t="inlineStr">
        <is>
          <t>Gold</t>
        </is>
      </c>
      <c r="Q93" s="116">
        <f>IFERROR(SUMIFS(tblInv[Current Value (THB)],tblInv[Market],"Commodity"),0)</f>
        <v/>
      </c>
    </row>
    <row r="100">
      <c r="C100" s="19" t="inlineStr">
        <is>
          <t>I · FINANCIAL ALERTS</t>
        </is>
      </c>
    </row>
    <row r="101">
      <c r="C101" s="117">
        <f>IF(IFERROR(SUMIFS(tblAccounts[Current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Type],"Cash")*XLOOKUP("CURRENT_FX_USDTHB",tblSettings[Key],tblSettings[Value]),0)&lt;XLOOKUP("EMERGENCY_FUND_TARGET",tblSettings[Key],tblSettings[Value]),"⚠  Emergency Fund ต่ำกว่าเป้าหมาย — ขาดอีก "&amp;TEXT(XLOOKUP("EMERGENCY_FUND_TARGET",tblSettings[Key],tblSettings[Value])-IFERROR(SUMIFS(tblAccounts[Current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Type],"Cash")*XLOOKUP("CURRENT_FX_USDTHB",tblSettings[Key],tblSettings[Value]),0),"฿#,##0"),"✓  Emergency Fund ถึงเป้าหมายแล้ว")</f>
        <v/>
      </c>
      <c r="D101" s="118" t="n"/>
      <c r="E101" s="118" t="n"/>
      <c r="F101" s="118" t="n"/>
      <c r="G101" s="118" t="n"/>
      <c r="H101" s="118" t="n"/>
      <c r="I101" s="118" t="n"/>
      <c r="J101" s="118" t="n"/>
      <c r="K101" s="118" t="n"/>
      <c r="L101" s="118" t="n"/>
      <c r="M101" s="118" t="n"/>
      <c r="N101" s="119" t="n"/>
    </row>
    <row r="102">
      <c r="C102" s="117">
        <f>IF(IFERROR(IFERROR(SUMIFS(tblInvTx[THB Value],tblInvTx[Transaction Type],"Buy",tblInvTx[Date],"&gt;="&amp;DATE(YEAR($D$4),MONTH($D$4),1),tblInvTx[Date],"&lt;="&amp;EOMONTH($D$4,0)),0)/XLOOKUP("DCA_US_STOCKS",tblSettings[Key],tblSettings[Value]),0)&lt;1,"⚠  DCA เดือนนี้ยังไม่ครบ — ทำได้ "&amp;TEXT(IFERROR(IFERROR(SUMIFS(tblInvTx[THB Value],tblInvTx[Transaction Type],"Buy",tblInvTx[Date],"&gt;="&amp;DATE(YEAR($D$4),MONTH($D$4),1),tblInvTx[Date],"&lt;="&amp;EOMONTH($D$4,0)),0)/XLOOKUP("DCA_US_STOCKS",tblSettings[Key],tblSettings[Value]),0),"0.0%"),"✓  DCA เดือนนี้ครบแล้ว ("&amp;TEXT(IFERROR(IFERROR(SUMIFS(tblInvTx[THB Value],tblInvTx[Transaction Type],"Buy",tblInvTx[Date],"&gt;="&amp;DATE(YEAR($D$4),MONTH($D$4),1),tblInvTx[Date],"&lt;="&amp;EOMONTH($D$4,0)),0)/XLOOKUP("DCA_US_STOCKS",tblSettings[Key],tblSettings[Value]),0),"0.0%")&amp;")")</f>
        <v/>
      </c>
      <c r="D102" s="118" t="n"/>
      <c r="E102" s="118" t="n"/>
      <c r="F102" s="118" t="n"/>
      <c r="G102" s="118" t="n"/>
      <c r="H102" s="118" t="n"/>
      <c r="I102" s="118" t="n"/>
      <c r="J102" s="118" t="n"/>
      <c r="K102" s="118" t="n"/>
      <c r="L102" s="118" t="n"/>
      <c r="M102" s="118" t="n"/>
      <c r="N102" s="119" t="n"/>
    </row>
    <row r="103">
      <c r="C103" s="120">
        <f>IF(COUNTIFS(tblBudget[Month],DATE(YEAR($D$4),MONTH($D$4),1),tblBudget[Status],"Over Budget")&gt;0,"⚠  มี "&amp;COUNTIFS(tblBudget[Month],DATE(YEAR($D$4),MONTH($D$4),1),tblBudget[Status],"Over Budget")&amp;" หมวดที่ใช้เกิน Budget เดือนนี้","✓  ค่าใช้จ่ายอยู่ในงบทุกหมวด")</f>
        <v/>
      </c>
      <c r="D103" s="118" t="n"/>
      <c r="E103" s="118" t="n"/>
      <c r="F103" s="118" t="n"/>
      <c r="G103" s="118" t="n"/>
      <c r="H103" s="118" t="n"/>
      <c r="I103" s="118" t="n"/>
      <c r="J103" s="118" t="n"/>
      <c r="K103" s="118" t="n"/>
      <c r="L103" s="118" t="n"/>
      <c r="M103" s="118" t="n"/>
      <c r="N103" s="119" t="n"/>
    </row>
    <row r="104">
      <c r="C104" s="117">
        <f>IF(COUNTIFS(tblTx[Status],"Pending")&gt;0,"⚠  มี "&amp;COUNTIFS(tblTx[Status],"Pending")&amp;" Transaction รอยืนยัน (Status = Pending)","✓  ไม่มีรายการค้างยืนยัน")</f>
        <v/>
      </c>
      <c r="D104" s="118" t="n"/>
      <c r="E104" s="118" t="n"/>
      <c r="F104" s="118" t="n"/>
      <c r="G104" s="118" t="n"/>
      <c r="H104" s="118" t="n"/>
      <c r="I104" s="118" t="n"/>
      <c r="J104" s="118" t="n"/>
      <c r="K104" s="118" t="n"/>
      <c r="L104" s="118" t="n"/>
      <c r="M104" s="118" t="n"/>
      <c r="N104" s="119" t="n"/>
    </row>
    <row r="105">
      <c r="C105" s="120">
        <f>IF(COUNTIFS(tblAccounts[Status],"Missing Data")&gt;0,"⚠  มี "&amp;COUNTIFS(tblAccounts[Status],"Missing Data")&amp;" บัญชียังไม่มีข้อมูล (SCB / GSB) — Total Cash ยังไม่ครบ","✓  ข้อมูลบัญชีครบ")</f>
        <v/>
      </c>
      <c r="D105" s="118" t="n"/>
      <c r="E105" s="118" t="n"/>
      <c r="F105" s="118" t="n"/>
      <c r="G105" s="118" t="n"/>
      <c r="H105" s="118" t="n"/>
      <c r="I105" s="118" t="n"/>
      <c r="J105" s="118" t="n"/>
      <c r="K105" s="118" t="n"/>
      <c r="L105" s="118" t="n"/>
      <c r="M105" s="118" t="n"/>
      <c r="N105" s="119" t="n"/>
    </row>
    <row r="106">
      <c r="C106" s="117">
        <f>IF(COUNTIFS(tblAccounts[Status],"Stale")&gt;0,"⚠  มี "&amp;COUNTIFS(tblAccounts[Status],"Stale")&amp;" บัญชีข้อมูลเก่าเกินกำหนด (SET ไม่อัปเดตตั้งแต่ 17 มิ.ย. 69)","✓  ข้อมูลบัญชีอัปเดตล่าสุด")</f>
        <v/>
      </c>
      <c r="D106" s="118" t="n"/>
      <c r="E106" s="118" t="n"/>
      <c r="F106" s="118" t="n"/>
      <c r="G106" s="118" t="n"/>
      <c r="H106" s="118" t="n"/>
      <c r="I106" s="118" t="n"/>
      <c r="J106" s="118" t="n"/>
      <c r="K106" s="118" t="n"/>
      <c r="L106" s="118" t="n"/>
      <c r="M106" s="118" t="n"/>
      <c r="N106" s="119" t="n"/>
    </row>
    <row r="107">
      <c r="C107" s="120">
        <f>IF(COUNTIFS(tblLog[Status],"OPEN")+COUNTIFS(tblLog[Status],"Pending")&gt;0,"⚠  มี "&amp;COUNTIFS(tblLog[Status],"OPEN")+COUNTIFS(tblLog[Status],"Pending")&amp;" ข้อขัดแย้งที่ยังไม่ปิดใน 18_VALIDATION_LOG — ต้องตัดสินใจก่อนใช้ตัวเลขจริง","✓  ไม่มีข้อขัดแย้งค้าง")</f>
        <v/>
      </c>
      <c r="D107" s="118" t="n"/>
      <c r="E107" s="118" t="n"/>
      <c r="F107" s="118" t="n"/>
      <c r="G107" s="118" t="n"/>
      <c r="H107" s="118" t="n"/>
      <c r="I107" s="118" t="n"/>
      <c r="J107" s="118" t="n"/>
      <c r="K107" s="118" t="n"/>
      <c r="L107" s="118" t="n"/>
      <c r="M107" s="118" t="n"/>
      <c r="N107" s="119" t="n"/>
    </row>
    <row r="108">
      <c r="C108" s="117">
        <f>IF(COUNTIFS(tblInbox[Status],"Need Review")+COUNTIFS(tblInbox[Status],"New")&gt;0,"⚠  มี "&amp;(COUNTIFS(tblInbox[Status],"Need Review")+COUNTIFS(tblInbox[Status],"New"))&amp;" รายการใน 16_INBOX รอ Review","✓  INBOX ว่าง")</f>
        <v/>
      </c>
      <c r="D108" s="118" t="n"/>
      <c r="E108" s="118" t="n"/>
      <c r="F108" s="118" t="n"/>
      <c r="G108" s="118" t="n"/>
      <c r="H108" s="118" t="n"/>
      <c r="I108" s="118" t="n"/>
      <c r="J108" s="118" t="n"/>
      <c r="K108" s="118" t="n"/>
      <c r="L108" s="118" t="n"/>
      <c r="M108" s="118" t="n"/>
      <c r="N108" s="119" t="n"/>
    </row>
    <row r="109">
      <c r="C109" s="121">
        <f>IF(ABS((IFERROR(SUMIFS(tblAccounts[Current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Type],"Cash")*XLOOKUP("CURRENT_FX_USDTHB",tblSettings[Key],tblSettings[Value]),0)+IFERROR(SUMIFS(tblInv[Current Value (THB)],tblInv[Market],"US")+SUMIFS(tblInv[Current Value (THB)],tblInv[Market],"SET")+SUMIFS(tblInv[Current Value (THB)],tblInv[Market],"Commodity"),0)+IFERROR(SUMIFS(tblInv[Current Value (THB)],tblInv[Market],"PVD"),0))-IFERROR(SUMIFS(tblDebt[Outstanding],tblDebt[Status],"&lt;&gt;Closed"),0)-240715.8708)&gt;1,"ℹ  Net Worth คำนวณสด ต่างจากยอดที่รายงานไว้เดิม "&amp;TEXT((IFERROR(SUMIFS(tblAccounts[Current Balance],tblAccounts[Currency],"THB",tblAccounts[Account Type],"Bank")+SUMIFS(tblAccounts[Current Balance],tblAccounts[Currency],"THB",tblAccounts[Account Type],"Savings")+SUMIFS(tblAccounts[Current Balance],tblAccounts[Currency],"THB",tblAccounts[Account Type],"Cash")+SUMIFS(tblAccounts[Current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Type],"Cash")*XLOOKUP("CURRENT_FX_USDTHB",tblSettings[Key],tblSettings[Value]),0)+IFERROR(SUMIFS(tblInv[Current Value (THB)],tblInv[Market],"US")+SUMIFS(tblInv[Current Value (THB)],tblInv[Market],"SET")+SUMIFS(tblInv[Current Value (THB)],tblInv[Market],"Commodity"),0)+IFERROR(SUMIFS(tblInv[Current Value (THB)],tblInv[Market],"PVD"),0))-IFERROR(SUMIFS(tblDebt[Outstanding],tblDebt[Status],"&lt;&gt;Closed"),0)-240715.8708,"฿#,##0;-฿#,##0")&amp;" (เก็บทั้งสองค่าไว้ใน 14_NET_WORTH)","✓  Net Worth ตรงกับยอดที่รายงาน")</f>
        <v/>
      </c>
      <c r="D109" s="118" t="n"/>
      <c r="E109" s="118" t="n"/>
      <c r="F109" s="118" t="n"/>
      <c r="G109" s="118" t="n"/>
      <c r="H109" s="118" t="n"/>
      <c r="I109" s="118" t="n"/>
      <c r="J109" s="118" t="n"/>
      <c r="K109" s="118" t="n"/>
      <c r="L109" s="118" t="n"/>
      <c r="M109" s="118" t="n"/>
      <c r="N109" s="119" t="n"/>
    </row>
    <row r="111">
      <c r="C111" s="19" t="inlineStr">
        <is>
          <t>J · ไปยังชีทอื่น</t>
        </is>
      </c>
    </row>
    <row r="112">
      <c r="C112" s="122">
        <f>HYPERLINK("#'02_MONTHLY'!A1","▸ Monthly")</f>
        <v/>
      </c>
      <c r="D112" s="123" t="n"/>
      <c r="E112" s="122">
        <f>HYPERLINK("#'03_ACCOUNTS'!A1","▸ Accounts")</f>
        <v/>
      </c>
      <c r="F112" s="123" t="n"/>
      <c r="G112" s="122">
        <f>HYPERLINK("#'04_TRANSACTIONS'!A1","▸ Transactions")</f>
        <v/>
      </c>
      <c r="H112" s="123" t="n"/>
      <c r="I112" s="122">
        <f>HYPERLINK("#'06_INVESTMENT'!A1","▸ Investment")</f>
        <v/>
      </c>
      <c r="J112" s="123" t="n"/>
      <c r="K112" s="122">
        <f>HYPERLINK("#'08_DCA_PLAN'!A1","▸ DCA")</f>
        <v/>
      </c>
      <c r="L112" s="123" t="n"/>
      <c r="M112" s="122">
        <f>HYPERLINK("#'09_PVD'!A1","▸ PVD")</f>
        <v/>
      </c>
      <c r="N112" s="123" t="n"/>
    </row>
    <row r="113">
      <c r="C113" s="122">
        <f>HYPERLINK("#'10_BUDGET'!A1","▸ Budget")</f>
        <v/>
      </c>
      <c r="D113" s="123" t="n"/>
      <c r="E113" s="122">
        <f>HYPERLINK("#'11_TAX'!A1","▸ Tax")</f>
        <v/>
      </c>
      <c r="F113" s="123" t="n"/>
      <c r="G113" s="122">
        <f>HYPERLINK("#'12_FX'!A1","▸ FX")</f>
        <v/>
      </c>
      <c r="H113" s="123" t="n"/>
      <c r="I113" s="122">
        <f>HYPERLINK("#'14_NET_WORTH'!A1","▸ Net Worth")</f>
        <v/>
      </c>
      <c r="J113" s="123" t="n"/>
      <c r="K113" s="122">
        <f>HYPERLINK("#'16_INBOX'!A1","▸ Inbox")</f>
        <v/>
      </c>
      <c r="L113" s="123" t="n"/>
      <c r="M113" s="122">
        <f>HYPERLINK("#'18_VALIDATION_LOG'!A1","▸ Validation Log")</f>
        <v/>
      </c>
      <c r="N113" s="123" t="n"/>
    </row>
  </sheetData>
  <mergeCells count="267">
    <mergeCell ref="C25:H25"/>
    <mergeCell ref="C65:N65"/>
    <mergeCell ref="J66"/>
    <mergeCell ref="M43:N43"/>
    <mergeCell ref="C44:E44"/>
    <mergeCell ref="J75"/>
    <mergeCell ref="C109:N109"/>
    <mergeCell ref="L2:N3"/>
    <mergeCell ref="C31:E31"/>
    <mergeCell ref="F68:G68"/>
    <mergeCell ref="J27:L27"/>
    <mergeCell ref="C40:E40"/>
    <mergeCell ref="J43:L44"/>
    <mergeCell ref="K113:L113"/>
    <mergeCell ref="F17:H17"/>
    <mergeCell ref="M79:N79"/>
    <mergeCell ref="C15:E16"/>
    <mergeCell ref="M70:N70"/>
    <mergeCell ref="C71:E71"/>
    <mergeCell ref="E18"/>
    <mergeCell ref="C52:H52"/>
    <mergeCell ref="H20"/>
    <mergeCell ref="K76:L76"/>
    <mergeCell ref="K81:L81"/>
    <mergeCell ref="C61:H61"/>
    <mergeCell ref="J81"/>
    <mergeCell ref="C7:E7"/>
    <mergeCell ref="F70:G70"/>
    <mergeCell ref="F79:G79"/>
    <mergeCell ref="J14:K15"/>
    <mergeCell ref="H79:I79"/>
    <mergeCell ref="M74:N74"/>
    <mergeCell ref="G34:H34"/>
    <mergeCell ref="I10:K10"/>
    <mergeCell ref="M25:N25"/>
    <mergeCell ref="K67:L67"/>
    <mergeCell ref="J78"/>
    <mergeCell ref="C13:H13"/>
    <mergeCell ref="F81:G81"/>
    <mergeCell ref="M36:N36"/>
    <mergeCell ref="H21"/>
    <mergeCell ref="M18:N18"/>
    <mergeCell ref="E19"/>
    <mergeCell ref="M33:N33"/>
    <mergeCell ref="J39:L39"/>
    <mergeCell ref="M45:N45"/>
    <mergeCell ref="H81:I81"/>
    <mergeCell ref="C77:E77"/>
    <mergeCell ref="C34:E34"/>
    <mergeCell ref="H60"/>
    <mergeCell ref="F71:G71"/>
    <mergeCell ref="C102:N102"/>
    <mergeCell ref="E113:F113"/>
    <mergeCell ref="G113:H113"/>
    <mergeCell ref="C56:F56"/>
    <mergeCell ref="J70"/>
    <mergeCell ref="C74:E74"/>
    <mergeCell ref="J79"/>
    <mergeCell ref="J12:N12"/>
    <mergeCell ref="C108:N108"/>
    <mergeCell ref="C19:D19"/>
    <mergeCell ref="H71:I71"/>
    <mergeCell ref="M19:N19"/>
    <mergeCell ref="G44:H44"/>
    <mergeCell ref="F7:H7"/>
    <mergeCell ref="K78:L78"/>
    <mergeCell ref="G59:H59"/>
    <mergeCell ref="L15:N15"/>
    <mergeCell ref="J24:L24"/>
    <mergeCell ref="J31:L32"/>
    <mergeCell ref="C100:N100"/>
    <mergeCell ref="C103:N103"/>
    <mergeCell ref="C75:E75"/>
    <mergeCell ref="F19:G19"/>
    <mergeCell ref="M44:N44"/>
    <mergeCell ref="J13:N13"/>
    <mergeCell ref="C43:H43"/>
    <mergeCell ref="C59:E59"/>
    <mergeCell ref="C80:N80"/>
    <mergeCell ref="G48:H48"/>
    <mergeCell ref="F74:G74"/>
    <mergeCell ref="C46:E46"/>
    <mergeCell ref="K64:L64"/>
    <mergeCell ref="H74:I74"/>
    <mergeCell ref="M64:N64"/>
    <mergeCell ref="H68:I68"/>
    <mergeCell ref="K79:L79"/>
    <mergeCell ref="C2:H2"/>
    <mergeCell ref="M73:N73"/>
    <mergeCell ref="L10:N10"/>
    <mergeCell ref="C36:H36"/>
    <mergeCell ref="G38:H38"/>
    <mergeCell ref="G56"/>
    <mergeCell ref="G112:H112"/>
    <mergeCell ref="F20:G20"/>
    <mergeCell ref="F18:G18"/>
    <mergeCell ref="C39:E39"/>
    <mergeCell ref="C70:E70"/>
    <mergeCell ref="C48:E48"/>
    <mergeCell ref="F76:G76"/>
    <mergeCell ref="J67"/>
    <mergeCell ref="I112:J112"/>
    <mergeCell ref="C106:N106"/>
    <mergeCell ref="F66:G66"/>
    <mergeCell ref="C32:E32"/>
    <mergeCell ref="C38:E38"/>
    <mergeCell ref="F75:G75"/>
    <mergeCell ref="C81:E81"/>
    <mergeCell ref="J33:L33"/>
    <mergeCell ref="G24:H24"/>
    <mergeCell ref="J42:L42"/>
    <mergeCell ref="G33:H33"/>
    <mergeCell ref="J16:N16"/>
    <mergeCell ref="F59"/>
    <mergeCell ref="F55"/>
    <mergeCell ref="F24"/>
    <mergeCell ref="M27:N27"/>
    <mergeCell ref="H75:I75"/>
    <mergeCell ref="G26:H26"/>
    <mergeCell ref="C24:E24"/>
    <mergeCell ref="C101:N101"/>
    <mergeCell ref="C6:H6"/>
    <mergeCell ref="C33:E33"/>
    <mergeCell ref="M24:N24"/>
    <mergeCell ref="M76:N76"/>
    <mergeCell ref="C14:H14"/>
    <mergeCell ref="C104:N104"/>
    <mergeCell ref="C79:E79"/>
    <mergeCell ref="K66:L66"/>
    <mergeCell ref="C73:E73"/>
    <mergeCell ref="C8:E9"/>
    <mergeCell ref="C26:E26"/>
    <mergeCell ref="M66:N66"/>
    <mergeCell ref="J25:L26"/>
    <mergeCell ref="C18:D18"/>
    <mergeCell ref="F15:H15"/>
    <mergeCell ref="J30:L30"/>
    <mergeCell ref="F64:G64"/>
    <mergeCell ref="C10:E10"/>
    <mergeCell ref="K74:L74"/>
    <mergeCell ref="F73:G73"/>
    <mergeCell ref="K68:L68"/>
    <mergeCell ref="C54:H54"/>
    <mergeCell ref="M68:N68"/>
    <mergeCell ref="C55:E55"/>
    <mergeCell ref="L14:N14"/>
    <mergeCell ref="M67:N67"/>
    <mergeCell ref="M39:N39"/>
    <mergeCell ref="J71"/>
    <mergeCell ref="H18"/>
    <mergeCell ref="G39:H39"/>
    <mergeCell ref="J76"/>
    <mergeCell ref="C20:D20"/>
    <mergeCell ref="F21:G21"/>
    <mergeCell ref="C113:D113"/>
    <mergeCell ref="H73:I73"/>
    <mergeCell ref="C112:D112"/>
    <mergeCell ref="M78:N78"/>
    <mergeCell ref="E21"/>
    <mergeCell ref="J73"/>
    <mergeCell ref="G50:H51"/>
    <mergeCell ref="G37:H37"/>
    <mergeCell ref="F50:F51"/>
    <mergeCell ref="M31:N31"/>
    <mergeCell ref="C67:E67"/>
    <mergeCell ref="M75:N75"/>
    <mergeCell ref="C28:E28"/>
    <mergeCell ref="C50:E51"/>
    <mergeCell ref="C4"/>
    <mergeCell ref="C21:D21"/>
    <mergeCell ref="C37:E37"/>
    <mergeCell ref="C57:H57"/>
    <mergeCell ref="J18:L18"/>
    <mergeCell ref="M37:N37"/>
    <mergeCell ref="C72:N72"/>
    <mergeCell ref="M81:N81"/>
    <mergeCell ref="J68"/>
    <mergeCell ref="K71:L71"/>
    <mergeCell ref="C78:E78"/>
    <mergeCell ref="F8:H9"/>
    <mergeCell ref="F22:G22"/>
    <mergeCell ref="C69:N69"/>
    <mergeCell ref="C3:H3"/>
    <mergeCell ref="C30:E30"/>
    <mergeCell ref="H66:I66"/>
    <mergeCell ref="L17:N17"/>
    <mergeCell ref="M26:N26"/>
    <mergeCell ref="J47:N47"/>
    <mergeCell ref="F16:H16"/>
    <mergeCell ref="F77:G77"/>
    <mergeCell ref="H77:I77"/>
    <mergeCell ref="K73:L73"/>
    <mergeCell ref="J2:K2"/>
    <mergeCell ref="J19:L19"/>
    <mergeCell ref="G32:H32"/>
    <mergeCell ref="M38:N38"/>
    <mergeCell ref="G41:H41"/>
    <mergeCell ref="C107:N107"/>
    <mergeCell ref="E112:F112"/>
    <mergeCell ref="I8:K9"/>
    <mergeCell ref="C64:E64"/>
    <mergeCell ref="M71:N71"/>
    <mergeCell ref="H19"/>
    <mergeCell ref="C60:F60"/>
    <mergeCell ref="I7:K7"/>
    <mergeCell ref="H67:I67"/>
    <mergeCell ref="C41:E41"/>
    <mergeCell ref="F78:G78"/>
    <mergeCell ref="C63:N63"/>
    <mergeCell ref="H78:I78"/>
    <mergeCell ref="J36:L36"/>
    <mergeCell ref="G27:H27"/>
    <mergeCell ref="J45:L45"/>
    <mergeCell ref="M113:N113"/>
    <mergeCell ref="J20:L20"/>
    <mergeCell ref="C12:H12"/>
    <mergeCell ref="C105:N105"/>
    <mergeCell ref="G60"/>
    <mergeCell ref="I113:J113"/>
    <mergeCell ref="C27:E27"/>
    <mergeCell ref="C76:E76"/>
    <mergeCell ref="M20:N20"/>
    <mergeCell ref="H64:I64"/>
    <mergeCell ref="D4:F4"/>
    <mergeCell ref="C23:H23"/>
    <mergeCell ref="J64"/>
    <mergeCell ref="G28:H28"/>
    <mergeCell ref="K75:L75"/>
    <mergeCell ref="H70:I70"/>
    <mergeCell ref="J37:L38"/>
    <mergeCell ref="H4:K4"/>
    <mergeCell ref="M30:N30"/>
    <mergeCell ref="C66:E66"/>
    <mergeCell ref="K77:L77"/>
    <mergeCell ref="G30:H30"/>
    <mergeCell ref="M77:N77"/>
    <mergeCell ref="E20"/>
    <mergeCell ref="H56"/>
    <mergeCell ref="M42:N42"/>
    <mergeCell ref="J77"/>
    <mergeCell ref="C111:N111"/>
    <mergeCell ref="G45:H45"/>
    <mergeCell ref="L8:N9"/>
    <mergeCell ref="H22"/>
    <mergeCell ref="C68:E68"/>
    <mergeCell ref="K70:L70"/>
    <mergeCell ref="F67:G67"/>
    <mergeCell ref="L7:N7"/>
    <mergeCell ref="G29:H29"/>
    <mergeCell ref="G55:H55"/>
    <mergeCell ref="F10:H10"/>
    <mergeCell ref="J74"/>
    <mergeCell ref="C83:N83"/>
    <mergeCell ref="J21:N21"/>
    <mergeCell ref="G47:H47"/>
    <mergeCell ref="C45:E45"/>
    <mergeCell ref="M32:N32"/>
    <mergeCell ref="H76:I76"/>
    <mergeCell ref="K112:L112"/>
    <mergeCell ref="M112:N112"/>
    <mergeCell ref="G31:H31"/>
    <mergeCell ref="G46:H46"/>
    <mergeCell ref="C29:E29"/>
    <mergeCell ref="G40:H40"/>
    <mergeCell ref="J23:N23"/>
    <mergeCell ref="J17:K17"/>
    <mergeCell ref="C47:E47"/>
  </mergeCells>
  <conditionalFormatting sqref="M65:N81">
    <cfRule type="expression" priority="1" dxfId="0">
      <formula>$M65="Missing Data"</formula>
    </cfRule>
    <cfRule type="expression" priority="2" dxfId="1">
      <formula>$M65="Stale"</formula>
    </cfRule>
    <cfRule type="expression" priority="3" dxfId="2">
      <formula>$M65="Active"</formula>
    </cfRule>
  </conditionalFormatting>
  <conditionalFormatting sqref="C101:N101">
    <cfRule type="expression" priority="4" dxfId="3">
      <formula>LEFT($C101,1)="✓"</formula>
    </cfRule>
    <cfRule type="expression" priority="5" dxfId="4">
      <formula>LEFT($C101,1)="⚠"</formula>
    </cfRule>
  </conditionalFormatting>
  <conditionalFormatting sqref="C102:N102">
    <cfRule type="expression" priority="6" dxfId="3">
      <formula>LEFT($C102,1)="✓"</formula>
    </cfRule>
    <cfRule type="expression" priority="7" dxfId="4">
      <formula>LEFT($C102,1)="⚠"</formula>
    </cfRule>
  </conditionalFormatting>
  <conditionalFormatting sqref="C103:N103">
    <cfRule type="expression" priority="8" dxfId="3">
      <formula>LEFT($C103,1)="✓"</formula>
    </cfRule>
    <cfRule type="expression" priority="9" dxfId="4">
      <formula>LEFT($C103,1)="⚠"</formula>
    </cfRule>
  </conditionalFormatting>
  <conditionalFormatting sqref="C104:N104">
    <cfRule type="expression" priority="10" dxfId="3">
      <formula>LEFT($C104,1)="✓"</formula>
    </cfRule>
    <cfRule type="expression" priority="11" dxfId="4">
      <formula>LEFT($C104,1)="⚠"</formula>
    </cfRule>
  </conditionalFormatting>
  <conditionalFormatting sqref="C105:N105">
    <cfRule type="expression" priority="12" dxfId="3">
      <formula>LEFT($C105,1)="✓"</formula>
    </cfRule>
    <cfRule type="expression" priority="13" dxfId="4">
      <formula>LEFT($C105,1)="⚠"</formula>
    </cfRule>
  </conditionalFormatting>
  <conditionalFormatting sqref="C106:N106">
    <cfRule type="expression" priority="14" dxfId="3">
      <formula>LEFT($C106,1)="✓"</formula>
    </cfRule>
    <cfRule type="expression" priority="15" dxfId="4">
      <formula>LEFT($C106,1)="⚠"</formula>
    </cfRule>
  </conditionalFormatting>
  <conditionalFormatting sqref="C107:N107">
    <cfRule type="expression" priority="16" dxfId="3">
      <formula>LEFT($C107,1)="✓"</formula>
    </cfRule>
    <cfRule type="expression" priority="17" dxfId="4">
      <formula>LEFT($C107,1)="⚠"</formula>
    </cfRule>
  </conditionalFormatting>
  <conditionalFormatting sqref="C108:N108">
    <cfRule type="expression" priority="18" dxfId="3">
      <formula>LEFT($C108,1)="✓"</formula>
    </cfRule>
    <cfRule type="expression" priority="19" dxfId="4">
      <formula>LEFT($C108,1)="⚠"</formula>
    </cfRule>
  </conditionalFormatting>
  <conditionalFormatting sqref="C109:N109">
    <cfRule type="expression" priority="20" dxfId="3">
      <formula>LEFT($C109,1)="✓"</formula>
    </cfRule>
    <cfRule type="expression" priority="21" dxfId="4">
      <formula>LEFT($C109,1)="⚠"</formula>
    </cfRule>
  </conditionalFormatting>
  <dataValidations count="1">
    <dataValidation sqref="D4" showDropDown="0" showInputMessage="0" showErrorMessage="0" allowBlank="0" type="list">
      <formula1>_LISTS!$P$2:$P$16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B2:P24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6" customWidth="1" min="3" max="3"/>
    <col width="15" customWidth="1" min="4" max="4"/>
    <col width="16" customWidth="1" min="5" max="5"/>
    <col width="15" customWidth="1" min="6" max="6"/>
    <col width="15" customWidth="1" min="7" max="7"/>
    <col width="17" customWidth="1" min="8" max="8"/>
    <col width="16" customWidth="1" min="9" max="9"/>
    <col width="15" customWidth="1" min="10" max="10"/>
    <col width="15" customWidth="1" min="11" max="11"/>
    <col width="20" customWidth="1" min="12" max="12"/>
    <col width="20" customWidth="1" min="13" max="13"/>
    <col width="13" customWidth="1" min="14" max="14"/>
    <col width="15" customWidth="1" min="15" max="15"/>
    <col width="17" customWidth="1" min="16" max="16"/>
  </cols>
  <sheetData>
    <row r="2" ht="26" customHeight="1">
      <c r="B2" s="124" t="inlineStr">
        <is>
          <t>02_MONTHLY — สรุปการเงินรายเดือน (Plan vs Actual)</t>
        </is>
      </c>
    </row>
    <row r="3" ht="14" customHeight="1">
      <c r="B3" s="125" t="inlineStr">
        <is>
          <t>Actual คำนวณสดจาก 04_TRANSACTIONS | Plan มาจาก 17_SETTINGS + 10_BUDGET | Transfer ระหว่างบัญชีตัวเองไม่ถูกนับเป็น Income หรือ Expense</t>
        </is>
      </c>
    </row>
    <row r="5" ht="30" customHeight="1">
      <c r="B5" s="126" t="inlineStr">
        <is>
          <t>Month</t>
        </is>
      </c>
      <c r="C5" s="126" t="inlineStr">
        <is>
          <t>Income (Actual)</t>
        </is>
      </c>
      <c r="D5" s="126" t="inlineStr">
        <is>
          <t>Income (Plan)</t>
        </is>
      </c>
      <c r="E5" s="126" t="inlineStr">
        <is>
          <t>Expense (Actual)</t>
        </is>
      </c>
      <c r="F5" s="126" t="inlineStr">
        <is>
          <t>Expense (Plan)</t>
        </is>
      </c>
      <c r="G5" s="126" t="inlineStr">
        <is>
          <t>Saving (Actual)</t>
        </is>
      </c>
      <c r="H5" s="126" t="inlineStr">
        <is>
          <t>Investment (Actual)</t>
        </is>
      </c>
      <c r="I5" s="126" t="inlineStr">
        <is>
          <t>Investment (Plan)</t>
        </is>
      </c>
      <c r="J5" s="126" t="inlineStr">
        <is>
          <t>Employee PVD</t>
        </is>
      </c>
      <c r="K5" s="126" t="inlineStr">
        <is>
          <t>Employer PVD</t>
        </is>
      </c>
      <c r="L5" s="126" t="inlineStr">
        <is>
          <t>Remaining Cash (Actual)</t>
        </is>
      </c>
      <c r="M5" s="126" t="inlineStr">
        <is>
          <t>Remaining Cash (Plan)</t>
        </is>
      </c>
      <c r="N5" s="126" t="inlineStr">
        <is>
          <t>Savings Rate</t>
        </is>
      </c>
      <c r="O5" s="126" t="inlineStr">
        <is>
          <t>Investment Rate</t>
        </is>
      </c>
      <c r="P5" s="126" t="inlineStr">
        <is>
          <t>Net Worth</t>
        </is>
      </c>
    </row>
    <row r="6">
      <c r="B6" s="127" t="n">
        <v>45839</v>
      </c>
      <c r="C6" s="128">
        <f>IFERROR(SUMIFS(tblTx[THB Equivalent],tblTx[Type],"Income",tblTx[Status],"Confirmed",tblTx[Date],"&gt;="&amp;DATE(2025,7,1),tblTx[Date],"&lt;="&amp;EOMONTH(DATE(2025,7,1),0))+SUMIFS(tblTx[THB Equivalent],tblTx[Type],"Interest",tblTx[Status],"Confirmed",tblTx[Date],"&gt;="&amp;DATE(2025,7,1),tblTx[Date],"&lt;="&amp;EOMONTH(DATE(2025,7,1),0))+SUMIFS(tblTx[THB Equivalent],tblTx[Type],"Dividend",tblTx[Status],"Confirmed",tblTx[Date],"&gt;="&amp;DATE(2025,7,1),tblTx[Date],"&lt;="&amp;EOMONTH(DATE(2025,7,1),0)),0)</f>
        <v/>
      </c>
      <c r="D6" s="129">
        <f>XLOOKUP("BASE_SALARY",tblSettings[Key],tblSettings[Value])+XLOOKUP("TRAVEL_ALLOWANCE",tblSettings[Key],tblSettings[Value])+XLOOKUP("COST_OF_LIVING",tblSettings[Key],tblSettings[Value])</f>
        <v/>
      </c>
      <c r="E6" s="128">
        <f>IFERROR(SUMIFS(tblTx[THB Equivalent],tblTx[Type],"Expense",tblTx[Status],"Confirmed",tblTx[Date],"&gt;="&amp;DATE(2025,7,1),tblTx[Date],"&lt;="&amp;EOMONTH(DATE(2025,7,1),0))+SUMIFS(tblTx[THB Equivalent],tblTx[Type],"Fee",tblTx[Status],"Confirmed",tblTx[Date],"&gt;="&amp;DATE(2025,7,1),tblTx[Date],"&lt;="&amp;EOMONTH(DATE(2025,7,1),0)),0)</f>
        <v/>
      </c>
      <c r="F6" s="129">
        <f>IFERROR(SUMIFS(tblBudget[Budget],tblBudget[Month],DATE(2025,7,1),tblBudget[Category],"Daily Expenses")+SUMIFS(tblBudget[Budget],tblBudget[Month],DATE(2025,7,1),tblBudget[Category],"Cat")+SUMIFS(tblBudget[Budget],tblBudget[Month],DATE(2025,7,1),tblBudget[Category],"Parking"),0)</f>
        <v/>
      </c>
      <c r="G6" s="128">
        <f>IFERROR(SUMIFS(tblTx[THB Equivalent],tblTx[Category],"Saving",tblTx[Status],"Confirmed",tblTx[Date],"&gt;="&amp;DATE(2025,7,1),tblTx[Date],"&lt;="&amp;EOMONTH(DATE(2025,7,1),0)),0)</f>
        <v/>
      </c>
      <c r="H6" s="128">
        <f>IFERROR(SUMIFS(tblInvTx[THB Value],tblInvTx[Transaction Type],"Buy",tblInvTx[Date],"&gt;="&amp;DATE(2025,7,1),tblInvTx[Date],"&lt;="&amp;EOMONTH(DATE(2025,7,1),0)),0)</f>
        <v/>
      </c>
      <c r="I6" s="129">
        <f>XLOOKUP("DCA_US_STOCKS",tblSettings[Key],tblSettings[Value])+XLOOKUP("DCA_INVEST_RESERVE",tblSettings[Key],tblSettings[Value])</f>
        <v/>
      </c>
      <c r="J6" s="128">
        <f>IFERROR(SUMIFS(tblTx[THB Equivalent],tblTx[Type],"PVD Contribution",tblTx[Status],"Confirmed",tblTx[Date],"&gt;="&amp;DATE(2025,7,1),tblTx[Date],"&lt;="&amp;EOMONTH(DATE(2025,7,1),0)),0)</f>
        <v/>
      </c>
      <c r="K6" s="128">
        <f>IFERROR(SUMIFS(tblTx[THB Equivalent],tblTx[Type],"PVD Employer",tblTx[Status],"Confirmed",tblTx[Date],"&gt;="&amp;DATE(2025,7,1),tblTx[Date],"&lt;="&amp;EOMONTH(DATE(2025,7,1),0)),0)</f>
        <v/>
      </c>
      <c r="L6" s="130">
        <f>C6-E6-G6-H6-J6</f>
        <v/>
      </c>
      <c r="M6" s="131">
        <f>D6-F6-I6-XLOOKUP("BASE_SALARY",tblSettings[Key],tblSettings[Value])*XLOOKUP("PVD_EMPLOYEE_PCT",tblSettings[Key],tblSettings[Value])</f>
        <v/>
      </c>
      <c r="N6" s="132">
        <f>IFERROR((G6+J6)/D6,0)</f>
        <v/>
      </c>
      <c r="O6" s="132">
        <f>IFERROR(H6/D6,0)</f>
        <v/>
      </c>
      <c r="P6" s="128">
        <f>IFERROR(XLOOKUP(DATE(2025,7,1),tblNW[Date],tblNW[Net Worth (Calculated)]),"N/A")</f>
        <v/>
      </c>
    </row>
    <row r="7">
      <c r="B7" s="127" t="n">
        <v>45870</v>
      </c>
      <c r="C7" s="128">
        <f>IFERROR(SUMIFS(tblTx[THB Equivalent],tblTx[Type],"Income",tblTx[Status],"Confirmed",tblTx[Date],"&gt;="&amp;DATE(2025,8,1),tblTx[Date],"&lt;="&amp;EOMONTH(DATE(2025,8,1),0))+SUMIFS(tblTx[THB Equivalent],tblTx[Type],"Interest",tblTx[Status],"Confirmed",tblTx[Date],"&gt;="&amp;DATE(2025,8,1),tblTx[Date],"&lt;="&amp;EOMONTH(DATE(2025,8,1),0))+SUMIFS(tblTx[THB Equivalent],tblTx[Type],"Dividend",tblTx[Status],"Confirmed",tblTx[Date],"&gt;="&amp;DATE(2025,8,1),tblTx[Date],"&lt;="&amp;EOMONTH(DATE(2025,8,1),0)),0)</f>
        <v/>
      </c>
      <c r="D7" s="129">
        <f>XLOOKUP("BASE_SALARY",tblSettings[Key],tblSettings[Value])+XLOOKUP("TRAVEL_ALLOWANCE",tblSettings[Key],tblSettings[Value])+XLOOKUP("COST_OF_LIVING",tblSettings[Key],tblSettings[Value])</f>
        <v/>
      </c>
      <c r="E7" s="128">
        <f>IFERROR(SUMIFS(tblTx[THB Equivalent],tblTx[Type],"Expense",tblTx[Status],"Confirmed",tblTx[Date],"&gt;="&amp;DATE(2025,8,1),tblTx[Date],"&lt;="&amp;EOMONTH(DATE(2025,8,1),0))+SUMIFS(tblTx[THB Equivalent],tblTx[Type],"Fee",tblTx[Status],"Confirmed",tblTx[Date],"&gt;="&amp;DATE(2025,8,1),tblTx[Date],"&lt;="&amp;EOMONTH(DATE(2025,8,1),0)),0)</f>
        <v/>
      </c>
      <c r="F7" s="129">
        <f>IFERROR(SUMIFS(tblBudget[Budget],tblBudget[Month],DATE(2025,8,1),tblBudget[Category],"Daily Expenses")+SUMIFS(tblBudget[Budget],tblBudget[Month],DATE(2025,8,1),tblBudget[Category],"Cat")+SUMIFS(tblBudget[Budget],tblBudget[Month],DATE(2025,8,1),tblBudget[Category],"Parking"),0)</f>
        <v/>
      </c>
      <c r="G7" s="128">
        <f>IFERROR(SUMIFS(tblTx[THB Equivalent],tblTx[Category],"Saving",tblTx[Status],"Confirmed",tblTx[Date],"&gt;="&amp;DATE(2025,8,1),tblTx[Date],"&lt;="&amp;EOMONTH(DATE(2025,8,1),0)),0)</f>
        <v/>
      </c>
      <c r="H7" s="128">
        <f>IFERROR(SUMIFS(tblInvTx[THB Value],tblInvTx[Transaction Type],"Buy",tblInvTx[Date],"&gt;="&amp;DATE(2025,8,1),tblInvTx[Date],"&lt;="&amp;EOMONTH(DATE(2025,8,1),0)),0)</f>
        <v/>
      </c>
      <c r="I7" s="129">
        <f>XLOOKUP("DCA_US_STOCKS",tblSettings[Key],tblSettings[Value])+XLOOKUP("DCA_INVEST_RESERVE",tblSettings[Key],tblSettings[Value])</f>
        <v/>
      </c>
      <c r="J7" s="128">
        <f>IFERROR(SUMIFS(tblTx[THB Equivalent],tblTx[Type],"PVD Contribution",tblTx[Status],"Confirmed",tblTx[Date],"&gt;="&amp;DATE(2025,8,1),tblTx[Date],"&lt;="&amp;EOMONTH(DATE(2025,8,1),0)),0)</f>
        <v/>
      </c>
      <c r="K7" s="128">
        <f>IFERROR(SUMIFS(tblTx[THB Equivalent],tblTx[Type],"PVD Employer",tblTx[Status],"Confirmed",tblTx[Date],"&gt;="&amp;DATE(2025,8,1),tblTx[Date],"&lt;="&amp;EOMONTH(DATE(2025,8,1),0)),0)</f>
        <v/>
      </c>
      <c r="L7" s="130">
        <f>C7-E7-G7-H7-J7</f>
        <v/>
      </c>
      <c r="M7" s="131">
        <f>D7-F7-I7-XLOOKUP("BASE_SALARY",tblSettings[Key],tblSettings[Value])*XLOOKUP("PVD_EMPLOYEE_PCT",tblSettings[Key],tblSettings[Value])</f>
        <v/>
      </c>
      <c r="N7" s="132">
        <f>IFERROR((G7+J7)/D7,0)</f>
        <v/>
      </c>
      <c r="O7" s="132">
        <f>IFERROR(H7/D7,0)</f>
        <v/>
      </c>
      <c r="P7" s="128">
        <f>IFERROR(XLOOKUP(DATE(2025,8,1),tblNW[Date],tblNW[Net Worth (Calculated)]),"N/A")</f>
        <v/>
      </c>
    </row>
    <row r="8">
      <c r="B8" s="127" t="n">
        <v>45901</v>
      </c>
      <c r="C8" s="128">
        <f>IFERROR(SUMIFS(tblTx[THB Equivalent],tblTx[Type],"Income",tblTx[Status],"Confirmed",tblTx[Date],"&gt;="&amp;DATE(2025,9,1),tblTx[Date],"&lt;="&amp;EOMONTH(DATE(2025,9,1),0))+SUMIFS(tblTx[THB Equivalent],tblTx[Type],"Interest",tblTx[Status],"Confirmed",tblTx[Date],"&gt;="&amp;DATE(2025,9,1),tblTx[Date],"&lt;="&amp;EOMONTH(DATE(2025,9,1),0))+SUMIFS(tblTx[THB Equivalent],tblTx[Type],"Dividend",tblTx[Status],"Confirmed",tblTx[Date],"&gt;="&amp;DATE(2025,9,1),tblTx[Date],"&lt;="&amp;EOMONTH(DATE(2025,9,1),0)),0)</f>
        <v/>
      </c>
      <c r="D8" s="129">
        <f>XLOOKUP("BASE_SALARY",tblSettings[Key],tblSettings[Value])+XLOOKUP("TRAVEL_ALLOWANCE",tblSettings[Key],tblSettings[Value])+XLOOKUP("COST_OF_LIVING",tblSettings[Key],tblSettings[Value])</f>
        <v/>
      </c>
      <c r="E8" s="128">
        <f>IFERROR(SUMIFS(tblTx[THB Equivalent],tblTx[Type],"Expense",tblTx[Status],"Confirmed",tblTx[Date],"&gt;="&amp;DATE(2025,9,1),tblTx[Date],"&lt;="&amp;EOMONTH(DATE(2025,9,1),0))+SUMIFS(tblTx[THB Equivalent],tblTx[Type],"Fee",tblTx[Status],"Confirmed",tblTx[Date],"&gt;="&amp;DATE(2025,9,1),tblTx[Date],"&lt;="&amp;EOMONTH(DATE(2025,9,1),0)),0)</f>
        <v/>
      </c>
      <c r="F8" s="129">
        <f>IFERROR(SUMIFS(tblBudget[Budget],tblBudget[Month],DATE(2025,9,1),tblBudget[Category],"Daily Expenses")+SUMIFS(tblBudget[Budget],tblBudget[Month],DATE(2025,9,1),tblBudget[Category],"Cat")+SUMIFS(tblBudget[Budget],tblBudget[Month],DATE(2025,9,1),tblBudget[Category],"Parking"),0)</f>
        <v/>
      </c>
      <c r="G8" s="128">
        <f>IFERROR(SUMIFS(tblTx[THB Equivalent],tblTx[Category],"Saving",tblTx[Status],"Confirmed",tblTx[Date],"&gt;="&amp;DATE(2025,9,1),tblTx[Date],"&lt;="&amp;EOMONTH(DATE(2025,9,1),0)),0)</f>
        <v/>
      </c>
      <c r="H8" s="128">
        <f>IFERROR(SUMIFS(tblInvTx[THB Value],tblInvTx[Transaction Type],"Buy",tblInvTx[Date],"&gt;="&amp;DATE(2025,9,1),tblInvTx[Date],"&lt;="&amp;EOMONTH(DATE(2025,9,1),0)),0)</f>
        <v/>
      </c>
      <c r="I8" s="129">
        <f>XLOOKUP("DCA_US_STOCKS",tblSettings[Key],tblSettings[Value])+XLOOKUP("DCA_INVEST_RESERVE",tblSettings[Key],tblSettings[Value])</f>
        <v/>
      </c>
      <c r="J8" s="128">
        <f>IFERROR(SUMIFS(tblTx[THB Equivalent],tblTx[Type],"PVD Contribution",tblTx[Status],"Confirmed",tblTx[Date],"&gt;="&amp;DATE(2025,9,1),tblTx[Date],"&lt;="&amp;EOMONTH(DATE(2025,9,1),0)),0)</f>
        <v/>
      </c>
      <c r="K8" s="128">
        <f>IFERROR(SUMIFS(tblTx[THB Equivalent],tblTx[Type],"PVD Employer",tblTx[Status],"Confirmed",tblTx[Date],"&gt;="&amp;DATE(2025,9,1),tblTx[Date],"&lt;="&amp;EOMONTH(DATE(2025,9,1),0)),0)</f>
        <v/>
      </c>
      <c r="L8" s="130">
        <f>C8-E8-G8-H8-J8</f>
        <v/>
      </c>
      <c r="M8" s="131">
        <f>D8-F8-I8-XLOOKUP("BASE_SALARY",tblSettings[Key],tblSettings[Value])*XLOOKUP("PVD_EMPLOYEE_PCT",tblSettings[Key],tblSettings[Value])</f>
        <v/>
      </c>
      <c r="N8" s="132">
        <f>IFERROR((G8+J8)/D8,0)</f>
        <v/>
      </c>
      <c r="O8" s="132">
        <f>IFERROR(H8/D8,0)</f>
        <v/>
      </c>
      <c r="P8" s="128">
        <f>IFERROR(XLOOKUP(DATE(2025,9,1),tblNW[Date],tblNW[Net Worth (Calculated)]),"N/A")</f>
        <v/>
      </c>
    </row>
    <row r="9">
      <c r="B9" s="127" t="n">
        <v>45931</v>
      </c>
      <c r="C9" s="128">
        <f>IFERROR(SUMIFS(tblTx[THB Equivalent],tblTx[Type],"Income",tblTx[Status],"Confirmed",tblTx[Date],"&gt;="&amp;DATE(2025,10,1),tblTx[Date],"&lt;="&amp;EOMONTH(DATE(2025,10,1),0))+SUMIFS(tblTx[THB Equivalent],tblTx[Type],"Interest",tblTx[Status],"Confirmed",tblTx[Date],"&gt;="&amp;DATE(2025,10,1),tblTx[Date],"&lt;="&amp;EOMONTH(DATE(2025,10,1),0))+SUMIFS(tblTx[THB Equivalent],tblTx[Type],"Dividend",tblTx[Status],"Confirmed",tblTx[Date],"&gt;="&amp;DATE(2025,10,1),tblTx[Date],"&lt;="&amp;EOMONTH(DATE(2025,10,1),0)),0)</f>
        <v/>
      </c>
      <c r="D9" s="129">
        <f>XLOOKUP("BASE_SALARY",tblSettings[Key],tblSettings[Value])+XLOOKUP("TRAVEL_ALLOWANCE",tblSettings[Key],tblSettings[Value])+XLOOKUP("COST_OF_LIVING",tblSettings[Key],tblSettings[Value])</f>
        <v/>
      </c>
      <c r="E9" s="128">
        <f>IFERROR(SUMIFS(tblTx[THB Equivalent],tblTx[Type],"Expense",tblTx[Status],"Confirmed",tblTx[Date],"&gt;="&amp;DATE(2025,10,1),tblTx[Date],"&lt;="&amp;EOMONTH(DATE(2025,10,1),0))+SUMIFS(tblTx[THB Equivalent],tblTx[Type],"Fee",tblTx[Status],"Confirmed",tblTx[Date],"&gt;="&amp;DATE(2025,10,1),tblTx[Date],"&lt;="&amp;EOMONTH(DATE(2025,10,1),0)),0)</f>
        <v/>
      </c>
      <c r="F9" s="129">
        <f>IFERROR(SUMIFS(tblBudget[Budget],tblBudget[Month],DATE(2025,10,1),tblBudget[Category],"Daily Expenses")+SUMIFS(tblBudget[Budget],tblBudget[Month],DATE(2025,10,1),tblBudget[Category],"Cat")+SUMIFS(tblBudget[Budget],tblBudget[Month],DATE(2025,10,1),tblBudget[Category],"Parking"),0)</f>
        <v/>
      </c>
      <c r="G9" s="128">
        <f>IFERROR(SUMIFS(tblTx[THB Equivalent],tblTx[Category],"Saving",tblTx[Status],"Confirmed",tblTx[Date],"&gt;="&amp;DATE(2025,10,1),tblTx[Date],"&lt;="&amp;EOMONTH(DATE(2025,10,1),0)),0)</f>
        <v/>
      </c>
      <c r="H9" s="128">
        <f>IFERROR(SUMIFS(tblInvTx[THB Value],tblInvTx[Transaction Type],"Buy",tblInvTx[Date],"&gt;="&amp;DATE(2025,10,1),tblInvTx[Date],"&lt;="&amp;EOMONTH(DATE(2025,10,1),0)),0)</f>
        <v/>
      </c>
      <c r="I9" s="129">
        <f>XLOOKUP("DCA_US_STOCKS",tblSettings[Key],tblSettings[Value])+XLOOKUP("DCA_INVEST_RESERVE",tblSettings[Key],tblSettings[Value])</f>
        <v/>
      </c>
      <c r="J9" s="128">
        <f>IFERROR(SUMIFS(tblTx[THB Equivalent],tblTx[Type],"PVD Contribution",tblTx[Status],"Confirmed",tblTx[Date],"&gt;="&amp;DATE(2025,10,1),tblTx[Date],"&lt;="&amp;EOMONTH(DATE(2025,10,1),0)),0)</f>
        <v/>
      </c>
      <c r="K9" s="128">
        <f>IFERROR(SUMIFS(tblTx[THB Equivalent],tblTx[Type],"PVD Employer",tblTx[Status],"Confirmed",tblTx[Date],"&gt;="&amp;DATE(2025,10,1),tblTx[Date],"&lt;="&amp;EOMONTH(DATE(2025,10,1),0)),0)</f>
        <v/>
      </c>
      <c r="L9" s="130">
        <f>C9-E9-G9-H9-J9</f>
        <v/>
      </c>
      <c r="M9" s="131">
        <f>D9-F9-I9-XLOOKUP("BASE_SALARY",tblSettings[Key],tblSettings[Value])*XLOOKUP("PVD_EMPLOYEE_PCT",tblSettings[Key],tblSettings[Value])</f>
        <v/>
      </c>
      <c r="N9" s="132">
        <f>IFERROR((G9+J9)/D9,0)</f>
        <v/>
      </c>
      <c r="O9" s="132">
        <f>IFERROR(H9/D9,0)</f>
        <v/>
      </c>
      <c r="P9" s="128">
        <f>IFERROR(XLOOKUP(DATE(2025,10,1),tblNW[Date],tblNW[Net Worth (Calculated)]),"N/A")</f>
        <v/>
      </c>
    </row>
    <row r="10">
      <c r="B10" s="127" t="n">
        <v>45962</v>
      </c>
      <c r="C10" s="128">
        <f>IFERROR(SUMIFS(tblTx[THB Equivalent],tblTx[Type],"Income",tblTx[Status],"Confirmed",tblTx[Date],"&gt;="&amp;DATE(2025,11,1),tblTx[Date],"&lt;="&amp;EOMONTH(DATE(2025,11,1),0))+SUMIFS(tblTx[THB Equivalent],tblTx[Type],"Interest",tblTx[Status],"Confirmed",tblTx[Date],"&gt;="&amp;DATE(2025,11,1),tblTx[Date],"&lt;="&amp;EOMONTH(DATE(2025,11,1),0))+SUMIFS(tblTx[THB Equivalent],tblTx[Type],"Dividend",tblTx[Status],"Confirmed",tblTx[Date],"&gt;="&amp;DATE(2025,11,1),tblTx[Date],"&lt;="&amp;EOMONTH(DATE(2025,11,1),0)),0)</f>
        <v/>
      </c>
      <c r="D10" s="129">
        <f>XLOOKUP("BASE_SALARY",tblSettings[Key],tblSettings[Value])+XLOOKUP("TRAVEL_ALLOWANCE",tblSettings[Key],tblSettings[Value])+XLOOKUP("COST_OF_LIVING",tblSettings[Key],tblSettings[Value])</f>
        <v/>
      </c>
      <c r="E10" s="128">
        <f>IFERROR(SUMIFS(tblTx[THB Equivalent],tblTx[Type],"Expense",tblTx[Status],"Confirmed",tblTx[Date],"&gt;="&amp;DATE(2025,11,1),tblTx[Date],"&lt;="&amp;EOMONTH(DATE(2025,11,1),0))+SUMIFS(tblTx[THB Equivalent],tblTx[Type],"Fee",tblTx[Status],"Confirmed",tblTx[Date],"&gt;="&amp;DATE(2025,11,1),tblTx[Date],"&lt;="&amp;EOMONTH(DATE(2025,11,1),0)),0)</f>
        <v/>
      </c>
      <c r="F10" s="129">
        <f>IFERROR(SUMIFS(tblBudget[Budget],tblBudget[Month],DATE(2025,11,1),tblBudget[Category],"Daily Expenses")+SUMIFS(tblBudget[Budget],tblBudget[Month],DATE(2025,11,1),tblBudget[Category],"Cat")+SUMIFS(tblBudget[Budget],tblBudget[Month],DATE(2025,11,1),tblBudget[Category],"Parking"),0)</f>
        <v/>
      </c>
      <c r="G10" s="128">
        <f>IFERROR(SUMIFS(tblTx[THB Equivalent],tblTx[Category],"Saving",tblTx[Status],"Confirmed",tblTx[Date],"&gt;="&amp;DATE(2025,11,1),tblTx[Date],"&lt;="&amp;EOMONTH(DATE(2025,11,1),0)),0)</f>
        <v/>
      </c>
      <c r="H10" s="128">
        <f>IFERROR(SUMIFS(tblInvTx[THB Value],tblInvTx[Transaction Type],"Buy",tblInvTx[Date],"&gt;="&amp;DATE(2025,11,1),tblInvTx[Date],"&lt;="&amp;EOMONTH(DATE(2025,11,1),0)),0)</f>
        <v/>
      </c>
      <c r="I10" s="129">
        <f>XLOOKUP("DCA_US_STOCKS",tblSettings[Key],tblSettings[Value])+XLOOKUP("DCA_INVEST_RESERVE",tblSettings[Key],tblSettings[Value])</f>
        <v/>
      </c>
      <c r="J10" s="128">
        <f>IFERROR(SUMIFS(tblTx[THB Equivalent],tblTx[Type],"PVD Contribution",tblTx[Status],"Confirmed",tblTx[Date],"&gt;="&amp;DATE(2025,11,1),tblTx[Date],"&lt;="&amp;EOMONTH(DATE(2025,11,1),0)),0)</f>
        <v/>
      </c>
      <c r="K10" s="128">
        <f>IFERROR(SUMIFS(tblTx[THB Equivalent],tblTx[Type],"PVD Employer",tblTx[Status],"Confirmed",tblTx[Date],"&gt;="&amp;DATE(2025,11,1),tblTx[Date],"&lt;="&amp;EOMONTH(DATE(2025,11,1),0)),0)</f>
        <v/>
      </c>
      <c r="L10" s="130">
        <f>C10-E10-G10-H10-J10</f>
        <v/>
      </c>
      <c r="M10" s="131">
        <f>D10-F10-I10-XLOOKUP("BASE_SALARY",tblSettings[Key],tblSettings[Value])*XLOOKUP("PVD_EMPLOYEE_PCT",tblSettings[Key],tblSettings[Value])</f>
        <v/>
      </c>
      <c r="N10" s="132">
        <f>IFERROR((G10+J10)/D10,0)</f>
        <v/>
      </c>
      <c r="O10" s="132">
        <f>IFERROR(H10/D10,0)</f>
        <v/>
      </c>
      <c r="P10" s="128">
        <f>IFERROR(XLOOKUP(DATE(2025,11,1),tblNW[Date],tblNW[Net Worth (Calculated)]),"N/A")</f>
        <v/>
      </c>
    </row>
    <row r="11">
      <c r="B11" s="127" t="n">
        <v>45992</v>
      </c>
      <c r="C11" s="128">
        <f>IFERROR(SUMIFS(tblTx[THB Equivalent],tblTx[Type],"Income",tblTx[Status],"Confirmed",tblTx[Date],"&gt;="&amp;DATE(2025,12,1),tblTx[Date],"&lt;="&amp;EOMONTH(DATE(2025,12,1),0))+SUMIFS(tblTx[THB Equivalent],tblTx[Type],"Interest",tblTx[Status],"Confirmed",tblTx[Date],"&gt;="&amp;DATE(2025,12,1),tblTx[Date],"&lt;="&amp;EOMONTH(DATE(2025,12,1),0))+SUMIFS(tblTx[THB Equivalent],tblTx[Type],"Dividend",tblTx[Status],"Confirmed",tblTx[Date],"&gt;="&amp;DATE(2025,12,1),tblTx[Date],"&lt;="&amp;EOMONTH(DATE(2025,12,1),0)),0)</f>
        <v/>
      </c>
      <c r="D11" s="129">
        <f>XLOOKUP("BASE_SALARY",tblSettings[Key],tblSettings[Value])+XLOOKUP("TRAVEL_ALLOWANCE",tblSettings[Key],tblSettings[Value])+XLOOKUP("COST_OF_LIVING",tblSettings[Key],tblSettings[Value])</f>
        <v/>
      </c>
      <c r="E11" s="128">
        <f>IFERROR(SUMIFS(tblTx[THB Equivalent],tblTx[Type],"Expense",tblTx[Status],"Confirmed",tblTx[Date],"&gt;="&amp;DATE(2025,12,1),tblTx[Date],"&lt;="&amp;EOMONTH(DATE(2025,12,1),0))+SUMIFS(tblTx[THB Equivalent],tblTx[Type],"Fee",tblTx[Status],"Confirmed",tblTx[Date],"&gt;="&amp;DATE(2025,12,1),tblTx[Date],"&lt;="&amp;EOMONTH(DATE(2025,12,1),0)),0)</f>
        <v/>
      </c>
      <c r="F11" s="129">
        <f>IFERROR(SUMIFS(tblBudget[Budget],tblBudget[Month],DATE(2025,12,1),tblBudget[Category],"Daily Expenses")+SUMIFS(tblBudget[Budget],tblBudget[Month],DATE(2025,12,1),tblBudget[Category],"Cat")+SUMIFS(tblBudget[Budget],tblBudget[Month],DATE(2025,12,1),tblBudget[Category],"Parking"),0)</f>
        <v/>
      </c>
      <c r="G11" s="128">
        <f>IFERROR(SUMIFS(tblTx[THB Equivalent],tblTx[Category],"Saving",tblTx[Status],"Confirmed",tblTx[Date],"&gt;="&amp;DATE(2025,12,1),tblTx[Date],"&lt;="&amp;EOMONTH(DATE(2025,12,1),0)),0)</f>
        <v/>
      </c>
      <c r="H11" s="128">
        <f>IFERROR(SUMIFS(tblInvTx[THB Value],tblInvTx[Transaction Type],"Buy",tblInvTx[Date],"&gt;="&amp;DATE(2025,12,1),tblInvTx[Date],"&lt;="&amp;EOMONTH(DATE(2025,12,1),0)),0)</f>
        <v/>
      </c>
      <c r="I11" s="129">
        <f>XLOOKUP("DCA_US_STOCKS",tblSettings[Key],tblSettings[Value])+XLOOKUP("DCA_INVEST_RESERVE",tblSettings[Key],tblSettings[Value])</f>
        <v/>
      </c>
      <c r="J11" s="128">
        <f>IFERROR(SUMIFS(tblTx[THB Equivalent],tblTx[Type],"PVD Contribution",tblTx[Status],"Confirmed",tblTx[Date],"&gt;="&amp;DATE(2025,12,1),tblTx[Date],"&lt;="&amp;EOMONTH(DATE(2025,12,1),0)),0)</f>
        <v/>
      </c>
      <c r="K11" s="128">
        <f>IFERROR(SUMIFS(tblTx[THB Equivalent],tblTx[Type],"PVD Employer",tblTx[Status],"Confirmed",tblTx[Date],"&gt;="&amp;DATE(2025,12,1),tblTx[Date],"&lt;="&amp;EOMONTH(DATE(2025,12,1),0)),0)</f>
        <v/>
      </c>
      <c r="L11" s="130">
        <f>C11-E11-G11-H11-J11</f>
        <v/>
      </c>
      <c r="M11" s="131">
        <f>D11-F11-I11-XLOOKUP("BASE_SALARY",tblSettings[Key],tblSettings[Value])*XLOOKUP("PVD_EMPLOYEE_PCT",tblSettings[Key],tblSettings[Value])</f>
        <v/>
      </c>
      <c r="N11" s="132">
        <f>IFERROR((G11+J11)/D11,0)</f>
        <v/>
      </c>
      <c r="O11" s="132">
        <f>IFERROR(H11/D11,0)</f>
        <v/>
      </c>
      <c r="P11" s="128">
        <f>IFERROR(XLOOKUP(DATE(2025,12,1),tblNW[Date],tblNW[Net Worth (Calculated)]),"N/A")</f>
        <v/>
      </c>
    </row>
    <row r="12">
      <c r="B12" s="127" t="n">
        <v>46023</v>
      </c>
      <c r="C12" s="128">
        <f>IFERROR(SUMIFS(tblTx[THB Equivalent],tblTx[Type],"Income",tblTx[Status],"Confirmed",tblTx[Date],"&gt;="&amp;DATE(2026,1,1),tblTx[Date],"&lt;="&amp;EOMONTH(DATE(2026,1,1),0))+SUMIFS(tblTx[THB Equivalent],tblTx[Type],"Interest",tblTx[Status],"Confirmed",tblTx[Date],"&gt;="&amp;DATE(2026,1,1),tblTx[Date],"&lt;="&amp;EOMONTH(DATE(2026,1,1),0))+SUMIFS(tblTx[THB Equivalent],tblTx[Type],"Dividend",tblTx[Status],"Confirmed",tblTx[Date],"&gt;="&amp;DATE(2026,1,1),tblTx[Date],"&lt;="&amp;EOMONTH(DATE(2026,1,1),0)),0)</f>
        <v/>
      </c>
      <c r="D12" s="129">
        <f>XLOOKUP("BASE_SALARY",tblSettings[Key],tblSettings[Value])+XLOOKUP("TRAVEL_ALLOWANCE",tblSettings[Key],tblSettings[Value])+XLOOKUP("COST_OF_LIVING",tblSettings[Key],tblSettings[Value])</f>
        <v/>
      </c>
      <c r="E12" s="128">
        <f>IFERROR(SUMIFS(tblTx[THB Equivalent],tblTx[Type],"Expense",tblTx[Status],"Confirmed",tblTx[Date],"&gt;="&amp;DATE(2026,1,1),tblTx[Date],"&lt;="&amp;EOMONTH(DATE(2026,1,1),0))+SUMIFS(tblTx[THB Equivalent],tblTx[Type],"Fee",tblTx[Status],"Confirmed",tblTx[Date],"&gt;="&amp;DATE(2026,1,1),tblTx[Date],"&lt;="&amp;EOMONTH(DATE(2026,1,1),0)),0)</f>
        <v/>
      </c>
      <c r="F12" s="129">
        <f>IFERROR(SUMIFS(tblBudget[Budget],tblBudget[Month],DATE(2026,1,1),tblBudget[Category],"Daily Expenses")+SUMIFS(tblBudget[Budget],tblBudget[Month],DATE(2026,1,1),tblBudget[Category],"Cat")+SUMIFS(tblBudget[Budget],tblBudget[Month],DATE(2026,1,1),tblBudget[Category],"Parking"),0)</f>
        <v/>
      </c>
      <c r="G12" s="128">
        <f>IFERROR(SUMIFS(tblTx[THB Equivalent],tblTx[Category],"Saving",tblTx[Status],"Confirmed",tblTx[Date],"&gt;="&amp;DATE(2026,1,1),tblTx[Date],"&lt;="&amp;EOMONTH(DATE(2026,1,1),0)),0)</f>
        <v/>
      </c>
      <c r="H12" s="128">
        <f>IFERROR(SUMIFS(tblInvTx[THB Value],tblInvTx[Transaction Type],"Buy",tblInvTx[Date],"&gt;="&amp;DATE(2026,1,1),tblInvTx[Date],"&lt;="&amp;EOMONTH(DATE(2026,1,1),0)),0)</f>
        <v/>
      </c>
      <c r="I12" s="129">
        <f>XLOOKUP("DCA_US_STOCKS",tblSettings[Key],tblSettings[Value])+XLOOKUP("DCA_INVEST_RESERVE",tblSettings[Key],tblSettings[Value])</f>
        <v/>
      </c>
      <c r="J12" s="128">
        <f>IFERROR(SUMIFS(tblTx[THB Equivalent],tblTx[Type],"PVD Contribution",tblTx[Status],"Confirmed",tblTx[Date],"&gt;="&amp;DATE(2026,1,1),tblTx[Date],"&lt;="&amp;EOMONTH(DATE(2026,1,1),0)),0)</f>
        <v/>
      </c>
      <c r="K12" s="128">
        <f>IFERROR(SUMIFS(tblTx[THB Equivalent],tblTx[Type],"PVD Employer",tblTx[Status],"Confirmed",tblTx[Date],"&gt;="&amp;DATE(2026,1,1),tblTx[Date],"&lt;="&amp;EOMONTH(DATE(2026,1,1),0)),0)</f>
        <v/>
      </c>
      <c r="L12" s="130">
        <f>C12-E12-G12-H12-J12</f>
        <v/>
      </c>
      <c r="M12" s="131">
        <f>D12-F12-I12-XLOOKUP("BASE_SALARY",tblSettings[Key],tblSettings[Value])*XLOOKUP("PVD_EMPLOYEE_PCT",tblSettings[Key],tblSettings[Value])</f>
        <v/>
      </c>
      <c r="N12" s="132">
        <f>IFERROR((G12+J12)/D12,0)</f>
        <v/>
      </c>
      <c r="O12" s="132">
        <f>IFERROR(H12/D12,0)</f>
        <v/>
      </c>
      <c r="P12" s="128">
        <f>IFERROR(XLOOKUP(DATE(2026,1,1),tblNW[Date],tblNW[Net Worth (Calculated)]),"N/A")</f>
        <v/>
      </c>
    </row>
    <row r="13">
      <c r="B13" s="127" t="n">
        <v>46054</v>
      </c>
      <c r="C13" s="128">
        <f>IFERROR(SUMIFS(tblTx[THB Equivalent],tblTx[Type],"Income",tblTx[Status],"Confirmed",tblTx[Date],"&gt;="&amp;DATE(2026,2,1),tblTx[Date],"&lt;="&amp;EOMONTH(DATE(2026,2,1),0))+SUMIFS(tblTx[THB Equivalent],tblTx[Type],"Interest",tblTx[Status],"Confirmed",tblTx[Date],"&gt;="&amp;DATE(2026,2,1),tblTx[Date],"&lt;="&amp;EOMONTH(DATE(2026,2,1),0))+SUMIFS(tblTx[THB Equivalent],tblTx[Type],"Dividend",tblTx[Status],"Confirmed",tblTx[Date],"&gt;="&amp;DATE(2026,2,1),tblTx[Date],"&lt;="&amp;EOMONTH(DATE(2026,2,1),0)),0)</f>
        <v/>
      </c>
      <c r="D13" s="129">
        <f>XLOOKUP("BASE_SALARY",tblSettings[Key],tblSettings[Value])+XLOOKUP("TRAVEL_ALLOWANCE",tblSettings[Key],tblSettings[Value])+XLOOKUP("COST_OF_LIVING",tblSettings[Key],tblSettings[Value])</f>
        <v/>
      </c>
      <c r="E13" s="128">
        <f>IFERROR(SUMIFS(tblTx[THB Equivalent],tblTx[Type],"Expense",tblTx[Status],"Confirmed",tblTx[Date],"&gt;="&amp;DATE(2026,2,1),tblTx[Date],"&lt;="&amp;EOMONTH(DATE(2026,2,1),0))+SUMIFS(tblTx[THB Equivalent],tblTx[Type],"Fee",tblTx[Status],"Confirmed",tblTx[Date],"&gt;="&amp;DATE(2026,2,1),tblTx[Date],"&lt;="&amp;EOMONTH(DATE(2026,2,1),0)),0)</f>
        <v/>
      </c>
      <c r="F13" s="129">
        <f>IFERROR(SUMIFS(tblBudget[Budget],tblBudget[Month],DATE(2026,2,1),tblBudget[Category],"Daily Expenses")+SUMIFS(tblBudget[Budget],tblBudget[Month],DATE(2026,2,1),tblBudget[Category],"Cat")+SUMIFS(tblBudget[Budget],tblBudget[Month],DATE(2026,2,1),tblBudget[Category],"Parking"),0)</f>
        <v/>
      </c>
      <c r="G13" s="128">
        <f>IFERROR(SUMIFS(tblTx[THB Equivalent],tblTx[Category],"Saving",tblTx[Status],"Confirmed",tblTx[Date],"&gt;="&amp;DATE(2026,2,1),tblTx[Date],"&lt;="&amp;EOMONTH(DATE(2026,2,1),0)),0)</f>
        <v/>
      </c>
      <c r="H13" s="128">
        <f>IFERROR(SUMIFS(tblInvTx[THB Value],tblInvTx[Transaction Type],"Buy",tblInvTx[Date],"&gt;="&amp;DATE(2026,2,1),tblInvTx[Date],"&lt;="&amp;EOMONTH(DATE(2026,2,1),0)),0)</f>
        <v/>
      </c>
      <c r="I13" s="129">
        <f>XLOOKUP("DCA_US_STOCKS",tblSettings[Key],tblSettings[Value])+XLOOKUP("DCA_INVEST_RESERVE",tblSettings[Key],tblSettings[Value])</f>
        <v/>
      </c>
      <c r="J13" s="128">
        <f>IFERROR(SUMIFS(tblTx[THB Equivalent],tblTx[Type],"PVD Contribution",tblTx[Status],"Confirmed",tblTx[Date],"&gt;="&amp;DATE(2026,2,1),tblTx[Date],"&lt;="&amp;EOMONTH(DATE(2026,2,1),0)),0)</f>
        <v/>
      </c>
      <c r="K13" s="128">
        <f>IFERROR(SUMIFS(tblTx[THB Equivalent],tblTx[Type],"PVD Employer",tblTx[Status],"Confirmed",tblTx[Date],"&gt;="&amp;DATE(2026,2,1),tblTx[Date],"&lt;="&amp;EOMONTH(DATE(2026,2,1),0)),0)</f>
        <v/>
      </c>
      <c r="L13" s="130">
        <f>C13-E13-G13-H13-J13</f>
        <v/>
      </c>
      <c r="M13" s="131">
        <f>D13-F13-I13-XLOOKUP("BASE_SALARY",tblSettings[Key],tblSettings[Value])*XLOOKUP("PVD_EMPLOYEE_PCT",tblSettings[Key],tblSettings[Value])</f>
        <v/>
      </c>
      <c r="N13" s="132">
        <f>IFERROR((G13+J13)/D13,0)</f>
        <v/>
      </c>
      <c r="O13" s="132">
        <f>IFERROR(H13/D13,0)</f>
        <v/>
      </c>
      <c r="P13" s="128">
        <f>IFERROR(XLOOKUP(DATE(2026,2,1),tblNW[Date],tblNW[Net Worth (Calculated)]),"N/A")</f>
        <v/>
      </c>
    </row>
    <row r="14">
      <c r="B14" s="127" t="n">
        <v>46082</v>
      </c>
      <c r="C14" s="128">
        <f>IFERROR(SUMIFS(tblTx[THB Equivalent],tblTx[Type],"Income",tblTx[Status],"Confirmed",tblTx[Date],"&gt;="&amp;DATE(2026,3,1),tblTx[Date],"&lt;="&amp;EOMONTH(DATE(2026,3,1),0))+SUMIFS(tblTx[THB Equivalent],tblTx[Type],"Interest",tblTx[Status],"Confirmed",tblTx[Date],"&gt;="&amp;DATE(2026,3,1),tblTx[Date],"&lt;="&amp;EOMONTH(DATE(2026,3,1),0))+SUMIFS(tblTx[THB Equivalent],tblTx[Type],"Dividend",tblTx[Status],"Confirmed",tblTx[Date],"&gt;="&amp;DATE(2026,3,1),tblTx[Date],"&lt;="&amp;EOMONTH(DATE(2026,3,1),0)),0)</f>
        <v/>
      </c>
      <c r="D14" s="129">
        <f>XLOOKUP("BASE_SALARY",tblSettings[Key],tblSettings[Value])+XLOOKUP("TRAVEL_ALLOWANCE",tblSettings[Key],tblSettings[Value])+XLOOKUP("COST_OF_LIVING",tblSettings[Key],tblSettings[Value])</f>
        <v/>
      </c>
      <c r="E14" s="128">
        <f>IFERROR(SUMIFS(tblTx[THB Equivalent],tblTx[Type],"Expense",tblTx[Status],"Confirmed",tblTx[Date],"&gt;="&amp;DATE(2026,3,1),tblTx[Date],"&lt;="&amp;EOMONTH(DATE(2026,3,1),0))+SUMIFS(tblTx[THB Equivalent],tblTx[Type],"Fee",tblTx[Status],"Confirmed",tblTx[Date],"&gt;="&amp;DATE(2026,3,1),tblTx[Date],"&lt;="&amp;EOMONTH(DATE(2026,3,1),0)),0)</f>
        <v/>
      </c>
      <c r="F14" s="129">
        <f>IFERROR(SUMIFS(tblBudget[Budget],tblBudget[Month],DATE(2026,3,1),tblBudget[Category],"Daily Expenses")+SUMIFS(tblBudget[Budget],tblBudget[Month],DATE(2026,3,1),tblBudget[Category],"Cat")+SUMIFS(tblBudget[Budget],tblBudget[Month],DATE(2026,3,1),tblBudget[Category],"Parking"),0)</f>
        <v/>
      </c>
      <c r="G14" s="128">
        <f>IFERROR(SUMIFS(tblTx[THB Equivalent],tblTx[Category],"Saving",tblTx[Status],"Confirmed",tblTx[Date],"&gt;="&amp;DATE(2026,3,1),tblTx[Date],"&lt;="&amp;EOMONTH(DATE(2026,3,1),0)),0)</f>
        <v/>
      </c>
      <c r="H14" s="128">
        <f>IFERROR(SUMIFS(tblInvTx[THB Value],tblInvTx[Transaction Type],"Buy",tblInvTx[Date],"&gt;="&amp;DATE(2026,3,1),tblInvTx[Date],"&lt;="&amp;EOMONTH(DATE(2026,3,1),0)),0)</f>
        <v/>
      </c>
      <c r="I14" s="129">
        <f>XLOOKUP("DCA_US_STOCKS",tblSettings[Key],tblSettings[Value])+XLOOKUP("DCA_INVEST_RESERVE",tblSettings[Key],tblSettings[Value])</f>
        <v/>
      </c>
      <c r="J14" s="128">
        <f>IFERROR(SUMIFS(tblTx[THB Equivalent],tblTx[Type],"PVD Contribution",tblTx[Status],"Confirmed",tblTx[Date],"&gt;="&amp;DATE(2026,3,1),tblTx[Date],"&lt;="&amp;EOMONTH(DATE(2026,3,1),0)),0)</f>
        <v/>
      </c>
      <c r="K14" s="128">
        <f>IFERROR(SUMIFS(tblTx[THB Equivalent],tblTx[Type],"PVD Employer",tblTx[Status],"Confirmed",tblTx[Date],"&gt;="&amp;DATE(2026,3,1),tblTx[Date],"&lt;="&amp;EOMONTH(DATE(2026,3,1),0)),0)</f>
        <v/>
      </c>
      <c r="L14" s="130">
        <f>C14-E14-G14-H14-J14</f>
        <v/>
      </c>
      <c r="M14" s="131">
        <f>D14-F14-I14-XLOOKUP("BASE_SALARY",tblSettings[Key],tblSettings[Value])*XLOOKUP("PVD_EMPLOYEE_PCT",tblSettings[Key],tblSettings[Value])</f>
        <v/>
      </c>
      <c r="N14" s="132">
        <f>IFERROR((G14+J14)/D14,0)</f>
        <v/>
      </c>
      <c r="O14" s="132">
        <f>IFERROR(H14/D14,0)</f>
        <v/>
      </c>
      <c r="P14" s="128">
        <f>IFERROR(XLOOKUP(DATE(2026,3,1),tblNW[Date],tblNW[Net Worth (Calculated)]),"N/A")</f>
        <v/>
      </c>
    </row>
    <row r="15">
      <c r="B15" s="127" t="n">
        <v>46113</v>
      </c>
      <c r="C15" s="128">
        <f>IFERROR(SUMIFS(tblTx[THB Equivalent],tblTx[Type],"Income",tblTx[Status],"Confirmed",tblTx[Date],"&gt;="&amp;DATE(2026,4,1),tblTx[Date],"&lt;="&amp;EOMONTH(DATE(2026,4,1),0))+SUMIFS(tblTx[THB Equivalent],tblTx[Type],"Interest",tblTx[Status],"Confirmed",tblTx[Date],"&gt;="&amp;DATE(2026,4,1),tblTx[Date],"&lt;="&amp;EOMONTH(DATE(2026,4,1),0))+SUMIFS(tblTx[THB Equivalent],tblTx[Type],"Dividend",tblTx[Status],"Confirmed",tblTx[Date],"&gt;="&amp;DATE(2026,4,1),tblTx[Date],"&lt;="&amp;EOMONTH(DATE(2026,4,1),0)),0)</f>
        <v/>
      </c>
      <c r="D15" s="129">
        <f>XLOOKUP("BASE_SALARY",tblSettings[Key],tblSettings[Value])+XLOOKUP("TRAVEL_ALLOWANCE",tblSettings[Key],tblSettings[Value])+XLOOKUP("COST_OF_LIVING",tblSettings[Key],tblSettings[Value])</f>
        <v/>
      </c>
      <c r="E15" s="128">
        <f>IFERROR(SUMIFS(tblTx[THB Equivalent],tblTx[Type],"Expense",tblTx[Status],"Confirmed",tblTx[Date],"&gt;="&amp;DATE(2026,4,1),tblTx[Date],"&lt;="&amp;EOMONTH(DATE(2026,4,1),0))+SUMIFS(tblTx[THB Equivalent],tblTx[Type],"Fee",tblTx[Status],"Confirmed",tblTx[Date],"&gt;="&amp;DATE(2026,4,1),tblTx[Date],"&lt;="&amp;EOMONTH(DATE(2026,4,1),0)),0)</f>
        <v/>
      </c>
      <c r="F15" s="129">
        <f>IFERROR(SUMIFS(tblBudget[Budget],tblBudget[Month],DATE(2026,4,1),tblBudget[Category],"Daily Expenses")+SUMIFS(tblBudget[Budget],tblBudget[Month],DATE(2026,4,1),tblBudget[Category],"Cat")+SUMIFS(tblBudget[Budget],tblBudget[Month],DATE(2026,4,1),tblBudget[Category],"Parking"),0)</f>
        <v/>
      </c>
      <c r="G15" s="128">
        <f>IFERROR(SUMIFS(tblTx[THB Equivalent],tblTx[Category],"Saving",tblTx[Status],"Confirmed",tblTx[Date],"&gt;="&amp;DATE(2026,4,1),tblTx[Date],"&lt;="&amp;EOMONTH(DATE(2026,4,1),0)),0)</f>
        <v/>
      </c>
      <c r="H15" s="128">
        <f>IFERROR(SUMIFS(tblInvTx[THB Value],tblInvTx[Transaction Type],"Buy",tblInvTx[Date],"&gt;="&amp;DATE(2026,4,1),tblInvTx[Date],"&lt;="&amp;EOMONTH(DATE(2026,4,1),0)),0)</f>
        <v/>
      </c>
      <c r="I15" s="129">
        <f>XLOOKUP("DCA_US_STOCKS",tblSettings[Key],tblSettings[Value])+XLOOKUP("DCA_INVEST_RESERVE",tblSettings[Key],tblSettings[Value])</f>
        <v/>
      </c>
      <c r="J15" s="128">
        <f>IFERROR(SUMIFS(tblTx[THB Equivalent],tblTx[Type],"PVD Contribution",tblTx[Status],"Confirmed",tblTx[Date],"&gt;="&amp;DATE(2026,4,1),tblTx[Date],"&lt;="&amp;EOMONTH(DATE(2026,4,1),0)),0)</f>
        <v/>
      </c>
      <c r="K15" s="128">
        <f>IFERROR(SUMIFS(tblTx[THB Equivalent],tblTx[Type],"PVD Employer",tblTx[Status],"Confirmed",tblTx[Date],"&gt;="&amp;DATE(2026,4,1),tblTx[Date],"&lt;="&amp;EOMONTH(DATE(2026,4,1),0)),0)</f>
        <v/>
      </c>
      <c r="L15" s="130">
        <f>C15-E15-G15-H15-J15</f>
        <v/>
      </c>
      <c r="M15" s="131">
        <f>D15-F15-I15-XLOOKUP("BASE_SALARY",tblSettings[Key],tblSettings[Value])*XLOOKUP("PVD_EMPLOYEE_PCT",tblSettings[Key],tblSettings[Value])</f>
        <v/>
      </c>
      <c r="N15" s="132">
        <f>IFERROR((G15+J15)/D15,0)</f>
        <v/>
      </c>
      <c r="O15" s="132">
        <f>IFERROR(H15/D15,0)</f>
        <v/>
      </c>
      <c r="P15" s="128">
        <f>IFERROR(XLOOKUP(DATE(2026,4,1),tblNW[Date],tblNW[Net Worth (Calculated)]),"N/A")</f>
        <v/>
      </c>
    </row>
    <row r="16">
      <c r="B16" s="127" t="n">
        <v>46143</v>
      </c>
      <c r="C16" s="128">
        <f>IFERROR(SUMIFS(tblTx[THB Equivalent],tblTx[Type],"Income",tblTx[Status],"Confirmed",tblTx[Date],"&gt;="&amp;DATE(2026,5,1),tblTx[Date],"&lt;="&amp;EOMONTH(DATE(2026,5,1),0))+SUMIFS(tblTx[THB Equivalent],tblTx[Type],"Interest",tblTx[Status],"Confirmed",tblTx[Date],"&gt;="&amp;DATE(2026,5,1),tblTx[Date],"&lt;="&amp;EOMONTH(DATE(2026,5,1),0))+SUMIFS(tblTx[THB Equivalent],tblTx[Type],"Dividend",tblTx[Status],"Confirmed",tblTx[Date],"&gt;="&amp;DATE(2026,5,1),tblTx[Date],"&lt;="&amp;EOMONTH(DATE(2026,5,1),0)),0)</f>
        <v/>
      </c>
      <c r="D16" s="129">
        <f>XLOOKUP("BASE_SALARY",tblSettings[Key],tblSettings[Value])+XLOOKUP("TRAVEL_ALLOWANCE",tblSettings[Key],tblSettings[Value])+XLOOKUP("COST_OF_LIVING",tblSettings[Key],tblSettings[Value])</f>
        <v/>
      </c>
      <c r="E16" s="128">
        <f>IFERROR(SUMIFS(tblTx[THB Equivalent],tblTx[Type],"Expense",tblTx[Status],"Confirmed",tblTx[Date],"&gt;="&amp;DATE(2026,5,1),tblTx[Date],"&lt;="&amp;EOMONTH(DATE(2026,5,1),0))+SUMIFS(tblTx[THB Equivalent],tblTx[Type],"Fee",tblTx[Status],"Confirmed",tblTx[Date],"&gt;="&amp;DATE(2026,5,1),tblTx[Date],"&lt;="&amp;EOMONTH(DATE(2026,5,1),0)),0)</f>
        <v/>
      </c>
      <c r="F16" s="129">
        <f>IFERROR(SUMIFS(tblBudget[Budget],tblBudget[Month],DATE(2026,5,1),tblBudget[Category],"Daily Expenses")+SUMIFS(tblBudget[Budget],tblBudget[Month],DATE(2026,5,1),tblBudget[Category],"Cat")+SUMIFS(tblBudget[Budget],tblBudget[Month],DATE(2026,5,1),tblBudget[Category],"Parking"),0)</f>
        <v/>
      </c>
      <c r="G16" s="128">
        <f>IFERROR(SUMIFS(tblTx[THB Equivalent],tblTx[Category],"Saving",tblTx[Status],"Confirmed",tblTx[Date],"&gt;="&amp;DATE(2026,5,1),tblTx[Date],"&lt;="&amp;EOMONTH(DATE(2026,5,1),0)),0)</f>
        <v/>
      </c>
      <c r="H16" s="128">
        <f>IFERROR(SUMIFS(tblInvTx[THB Value],tblInvTx[Transaction Type],"Buy",tblInvTx[Date],"&gt;="&amp;DATE(2026,5,1),tblInvTx[Date],"&lt;="&amp;EOMONTH(DATE(2026,5,1),0)),0)</f>
        <v/>
      </c>
      <c r="I16" s="129">
        <f>XLOOKUP("DCA_US_STOCKS",tblSettings[Key],tblSettings[Value])+XLOOKUP("DCA_INVEST_RESERVE",tblSettings[Key],tblSettings[Value])</f>
        <v/>
      </c>
      <c r="J16" s="128">
        <f>IFERROR(SUMIFS(tblTx[THB Equivalent],tblTx[Type],"PVD Contribution",tblTx[Status],"Confirmed",tblTx[Date],"&gt;="&amp;DATE(2026,5,1),tblTx[Date],"&lt;="&amp;EOMONTH(DATE(2026,5,1),0)),0)</f>
        <v/>
      </c>
      <c r="K16" s="128">
        <f>IFERROR(SUMIFS(tblTx[THB Equivalent],tblTx[Type],"PVD Employer",tblTx[Status],"Confirmed",tblTx[Date],"&gt;="&amp;DATE(2026,5,1),tblTx[Date],"&lt;="&amp;EOMONTH(DATE(2026,5,1),0)),0)</f>
        <v/>
      </c>
      <c r="L16" s="130">
        <f>C16-E16-G16-H16-J16</f>
        <v/>
      </c>
      <c r="M16" s="131">
        <f>D16-F16-I16-XLOOKUP("BASE_SALARY",tblSettings[Key],tblSettings[Value])*XLOOKUP("PVD_EMPLOYEE_PCT",tblSettings[Key],tblSettings[Value])</f>
        <v/>
      </c>
      <c r="N16" s="132">
        <f>IFERROR((G16+J16)/D16,0)</f>
        <v/>
      </c>
      <c r="O16" s="132">
        <f>IFERROR(H16/D16,0)</f>
        <v/>
      </c>
      <c r="P16" s="128">
        <f>IFERROR(XLOOKUP(DATE(2026,5,1),tblNW[Date],tblNW[Net Worth (Calculated)]),"N/A")</f>
        <v/>
      </c>
    </row>
    <row r="17">
      <c r="B17" s="127" t="n">
        <v>46174</v>
      </c>
      <c r="C17" s="128">
        <f>IFERROR(SUMIFS(tblTx[THB Equivalent],tblTx[Type],"Income",tblTx[Status],"Confirmed",tblTx[Date],"&gt;="&amp;DATE(2026,6,1),tblTx[Date],"&lt;="&amp;EOMONTH(DATE(2026,6,1),0))+SUMIFS(tblTx[THB Equivalent],tblTx[Type],"Interest",tblTx[Status],"Confirmed",tblTx[Date],"&gt;="&amp;DATE(2026,6,1),tblTx[Date],"&lt;="&amp;EOMONTH(DATE(2026,6,1),0))+SUMIFS(tblTx[THB Equivalent],tblTx[Type],"Dividend",tblTx[Status],"Confirmed",tblTx[Date],"&gt;="&amp;DATE(2026,6,1),tblTx[Date],"&lt;="&amp;EOMONTH(DATE(2026,6,1),0)),0)</f>
        <v/>
      </c>
      <c r="D17" s="129">
        <f>XLOOKUP("BASE_SALARY",tblSettings[Key],tblSettings[Value])+XLOOKUP("TRAVEL_ALLOWANCE",tblSettings[Key],tblSettings[Value])+XLOOKUP("COST_OF_LIVING",tblSettings[Key],tblSettings[Value])</f>
        <v/>
      </c>
      <c r="E17" s="128">
        <f>IFERROR(SUMIFS(tblTx[THB Equivalent],tblTx[Type],"Expense",tblTx[Status],"Confirmed",tblTx[Date],"&gt;="&amp;DATE(2026,6,1),tblTx[Date],"&lt;="&amp;EOMONTH(DATE(2026,6,1),0))+SUMIFS(tblTx[THB Equivalent],tblTx[Type],"Fee",tblTx[Status],"Confirmed",tblTx[Date],"&gt;="&amp;DATE(2026,6,1),tblTx[Date],"&lt;="&amp;EOMONTH(DATE(2026,6,1),0)),0)</f>
        <v/>
      </c>
      <c r="F17" s="129">
        <f>IFERROR(SUMIFS(tblBudget[Budget],tblBudget[Month],DATE(2026,6,1),tblBudget[Category],"Daily Expenses")+SUMIFS(tblBudget[Budget],tblBudget[Month],DATE(2026,6,1),tblBudget[Category],"Cat")+SUMIFS(tblBudget[Budget],tblBudget[Month],DATE(2026,6,1),tblBudget[Category],"Parking"),0)</f>
        <v/>
      </c>
      <c r="G17" s="128">
        <f>IFERROR(SUMIFS(tblTx[THB Equivalent],tblTx[Category],"Saving",tblTx[Status],"Confirmed",tblTx[Date],"&gt;="&amp;DATE(2026,6,1),tblTx[Date],"&lt;="&amp;EOMONTH(DATE(2026,6,1),0)),0)</f>
        <v/>
      </c>
      <c r="H17" s="128">
        <f>IFERROR(SUMIFS(tblInvTx[THB Value],tblInvTx[Transaction Type],"Buy",tblInvTx[Date],"&gt;="&amp;DATE(2026,6,1),tblInvTx[Date],"&lt;="&amp;EOMONTH(DATE(2026,6,1),0)),0)</f>
        <v/>
      </c>
      <c r="I17" s="129">
        <f>XLOOKUP("DCA_US_STOCKS",tblSettings[Key],tblSettings[Value])+XLOOKUP("DCA_INVEST_RESERVE",tblSettings[Key],tblSettings[Value])</f>
        <v/>
      </c>
      <c r="J17" s="128">
        <f>IFERROR(SUMIFS(tblTx[THB Equivalent],tblTx[Type],"PVD Contribution",tblTx[Status],"Confirmed",tblTx[Date],"&gt;="&amp;DATE(2026,6,1),tblTx[Date],"&lt;="&amp;EOMONTH(DATE(2026,6,1),0)),0)</f>
        <v/>
      </c>
      <c r="K17" s="128">
        <f>IFERROR(SUMIFS(tblTx[THB Equivalent],tblTx[Type],"PVD Employer",tblTx[Status],"Confirmed",tblTx[Date],"&gt;="&amp;DATE(2026,6,1),tblTx[Date],"&lt;="&amp;EOMONTH(DATE(2026,6,1),0)),0)</f>
        <v/>
      </c>
      <c r="L17" s="130">
        <f>C17-E17-G17-H17-J17</f>
        <v/>
      </c>
      <c r="M17" s="131">
        <f>D17-F17-I17-XLOOKUP("BASE_SALARY",tblSettings[Key],tblSettings[Value])*XLOOKUP("PVD_EMPLOYEE_PCT",tblSettings[Key],tblSettings[Value])</f>
        <v/>
      </c>
      <c r="N17" s="132">
        <f>IFERROR((G17+J17)/D17,0)</f>
        <v/>
      </c>
      <c r="O17" s="132">
        <f>IFERROR(H17/D17,0)</f>
        <v/>
      </c>
      <c r="P17" s="128">
        <f>IFERROR(XLOOKUP(DATE(2026,6,1),tblNW[Date],tblNW[Net Worth (Calculated)]),"N/A")</f>
        <v/>
      </c>
    </row>
    <row r="18">
      <c r="B18" s="127" t="n">
        <v>46204</v>
      </c>
      <c r="C18" s="128">
        <f>IFERROR(SUMIFS(tblTx[THB Equivalent],tblTx[Type],"Income",tblTx[Status],"Confirmed",tblTx[Date],"&gt;="&amp;DATE(2026,7,1),tblTx[Date],"&lt;="&amp;EOMONTH(DATE(2026,7,1),0))+SUMIFS(tblTx[THB Equivalent],tblTx[Type],"Interest",tblTx[Status],"Confirmed",tblTx[Date],"&gt;="&amp;DATE(2026,7,1),tblTx[Date],"&lt;="&amp;EOMONTH(DATE(2026,7,1),0))+SUMIFS(tblTx[THB Equivalent],tblTx[Type],"Dividend",tblTx[Status],"Confirmed",tblTx[Date],"&gt;="&amp;DATE(2026,7,1),tblTx[Date],"&lt;="&amp;EOMONTH(DATE(2026,7,1),0)),0)</f>
        <v/>
      </c>
      <c r="D18" s="129">
        <f>XLOOKUP("BASE_SALARY",tblSettings[Key],tblSettings[Value])+XLOOKUP("TRAVEL_ALLOWANCE",tblSettings[Key],tblSettings[Value])+XLOOKUP("COST_OF_LIVING",tblSettings[Key],tblSettings[Value])</f>
        <v/>
      </c>
      <c r="E18" s="128">
        <f>IFERROR(SUMIFS(tblTx[THB Equivalent],tblTx[Type],"Expense",tblTx[Status],"Confirmed",tblTx[Date],"&gt;="&amp;DATE(2026,7,1),tblTx[Date],"&lt;="&amp;EOMONTH(DATE(2026,7,1),0))+SUMIFS(tblTx[THB Equivalent],tblTx[Type],"Fee",tblTx[Status],"Confirmed",tblTx[Date],"&gt;="&amp;DATE(2026,7,1),tblTx[Date],"&lt;="&amp;EOMONTH(DATE(2026,7,1),0)),0)</f>
        <v/>
      </c>
      <c r="F18" s="129">
        <f>IFERROR(SUMIFS(tblBudget[Budget],tblBudget[Month],DATE(2026,7,1),tblBudget[Category],"Daily Expenses")+SUMIFS(tblBudget[Budget],tblBudget[Month],DATE(2026,7,1),tblBudget[Category],"Cat")+SUMIFS(tblBudget[Budget],tblBudget[Month],DATE(2026,7,1),tblBudget[Category],"Parking"),0)</f>
        <v/>
      </c>
      <c r="G18" s="128">
        <f>IFERROR(SUMIFS(tblTx[THB Equivalent],tblTx[Category],"Saving",tblTx[Status],"Confirmed",tblTx[Date],"&gt;="&amp;DATE(2026,7,1),tblTx[Date],"&lt;="&amp;EOMONTH(DATE(2026,7,1),0)),0)</f>
        <v/>
      </c>
      <c r="H18" s="128">
        <f>IFERROR(SUMIFS(tblInvTx[THB Value],tblInvTx[Transaction Type],"Buy",tblInvTx[Date],"&gt;="&amp;DATE(2026,7,1),tblInvTx[Date],"&lt;="&amp;EOMONTH(DATE(2026,7,1),0)),0)</f>
        <v/>
      </c>
      <c r="I18" s="129">
        <f>XLOOKUP("DCA_US_STOCKS",tblSettings[Key],tblSettings[Value])+XLOOKUP("DCA_INVEST_RESERVE",tblSettings[Key],tblSettings[Value])</f>
        <v/>
      </c>
      <c r="J18" s="128">
        <f>IFERROR(SUMIFS(tblTx[THB Equivalent],tblTx[Type],"PVD Contribution",tblTx[Status],"Confirmed",tblTx[Date],"&gt;="&amp;DATE(2026,7,1),tblTx[Date],"&lt;="&amp;EOMONTH(DATE(2026,7,1),0)),0)</f>
        <v/>
      </c>
      <c r="K18" s="128">
        <f>IFERROR(SUMIFS(tblTx[THB Equivalent],tblTx[Type],"PVD Employer",tblTx[Status],"Confirmed",tblTx[Date],"&gt;="&amp;DATE(2026,7,1),tblTx[Date],"&lt;="&amp;EOMONTH(DATE(2026,7,1),0)),0)</f>
        <v/>
      </c>
      <c r="L18" s="130">
        <f>C18-E18-G18-H18-J18</f>
        <v/>
      </c>
      <c r="M18" s="131">
        <f>D18-F18-I18-XLOOKUP("BASE_SALARY",tblSettings[Key],tblSettings[Value])*XLOOKUP("PVD_EMPLOYEE_PCT",tblSettings[Key],tblSettings[Value])</f>
        <v/>
      </c>
      <c r="N18" s="132">
        <f>IFERROR((G18+J18)/D18,0)</f>
        <v/>
      </c>
      <c r="O18" s="132">
        <f>IFERROR(H18/D18,0)</f>
        <v/>
      </c>
      <c r="P18" s="128">
        <f>IFERROR(XLOOKUP(DATE(2026,7,1),tblNW[Date],tblNW[Net Worth (Calculated)]),"N/A")</f>
        <v/>
      </c>
    </row>
    <row r="19">
      <c r="B19" s="127" t="n">
        <v>46235</v>
      </c>
      <c r="C19" s="128">
        <f>IFERROR(SUMIFS(tblTx[THB Equivalent],tblTx[Type],"Income",tblTx[Status],"Confirmed",tblTx[Date],"&gt;="&amp;DATE(2026,8,1),tblTx[Date],"&lt;="&amp;EOMONTH(DATE(2026,8,1),0))+SUMIFS(tblTx[THB Equivalent],tblTx[Type],"Interest",tblTx[Status],"Confirmed",tblTx[Date],"&gt;="&amp;DATE(2026,8,1),tblTx[Date],"&lt;="&amp;EOMONTH(DATE(2026,8,1),0))+SUMIFS(tblTx[THB Equivalent],tblTx[Type],"Dividend",tblTx[Status],"Confirmed",tblTx[Date],"&gt;="&amp;DATE(2026,8,1),tblTx[Date],"&lt;="&amp;EOMONTH(DATE(2026,8,1),0)),0)</f>
        <v/>
      </c>
      <c r="D19" s="129">
        <f>XLOOKUP("BASE_SALARY",tblSettings[Key],tblSettings[Value])+XLOOKUP("TRAVEL_ALLOWANCE",tblSettings[Key],tblSettings[Value])+XLOOKUP("COST_OF_LIVING",tblSettings[Key],tblSettings[Value])</f>
        <v/>
      </c>
      <c r="E19" s="128">
        <f>IFERROR(SUMIFS(tblTx[THB Equivalent],tblTx[Type],"Expense",tblTx[Status],"Confirmed",tblTx[Date],"&gt;="&amp;DATE(2026,8,1),tblTx[Date],"&lt;="&amp;EOMONTH(DATE(2026,8,1),0))+SUMIFS(tblTx[THB Equivalent],tblTx[Type],"Fee",tblTx[Status],"Confirmed",tblTx[Date],"&gt;="&amp;DATE(2026,8,1),tblTx[Date],"&lt;="&amp;EOMONTH(DATE(2026,8,1),0)),0)</f>
        <v/>
      </c>
      <c r="F19" s="129">
        <f>IFERROR(SUMIFS(tblBudget[Budget],tblBudget[Month],DATE(2026,8,1),tblBudget[Category],"Daily Expenses")+SUMIFS(tblBudget[Budget],tblBudget[Month],DATE(2026,8,1),tblBudget[Category],"Cat")+SUMIFS(tblBudget[Budget],tblBudget[Month],DATE(2026,8,1),tblBudget[Category],"Parking"),0)</f>
        <v/>
      </c>
      <c r="G19" s="128">
        <f>IFERROR(SUMIFS(tblTx[THB Equivalent],tblTx[Category],"Saving",tblTx[Status],"Confirmed",tblTx[Date],"&gt;="&amp;DATE(2026,8,1),tblTx[Date],"&lt;="&amp;EOMONTH(DATE(2026,8,1),0)),0)</f>
        <v/>
      </c>
      <c r="H19" s="128">
        <f>IFERROR(SUMIFS(tblInvTx[THB Value],tblInvTx[Transaction Type],"Buy",tblInvTx[Date],"&gt;="&amp;DATE(2026,8,1),tblInvTx[Date],"&lt;="&amp;EOMONTH(DATE(2026,8,1),0)),0)</f>
        <v/>
      </c>
      <c r="I19" s="129">
        <f>XLOOKUP("DCA_US_STOCKS",tblSettings[Key],tblSettings[Value])+XLOOKUP("DCA_INVEST_RESERVE",tblSettings[Key],tblSettings[Value])</f>
        <v/>
      </c>
      <c r="J19" s="128">
        <f>IFERROR(SUMIFS(tblTx[THB Equivalent],tblTx[Type],"PVD Contribution",tblTx[Status],"Confirmed",tblTx[Date],"&gt;="&amp;DATE(2026,8,1),tblTx[Date],"&lt;="&amp;EOMONTH(DATE(2026,8,1),0)),0)</f>
        <v/>
      </c>
      <c r="K19" s="128">
        <f>IFERROR(SUMIFS(tblTx[THB Equivalent],tblTx[Type],"PVD Employer",tblTx[Status],"Confirmed",tblTx[Date],"&gt;="&amp;DATE(2026,8,1),tblTx[Date],"&lt;="&amp;EOMONTH(DATE(2026,8,1),0)),0)</f>
        <v/>
      </c>
      <c r="L19" s="130">
        <f>C19-E19-G19-H19-J19</f>
        <v/>
      </c>
      <c r="M19" s="131">
        <f>D19-F19-I19-XLOOKUP("BASE_SALARY",tblSettings[Key],tblSettings[Value])*XLOOKUP("PVD_EMPLOYEE_PCT",tblSettings[Key],tblSettings[Value])</f>
        <v/>
      </c>
      <c r="N19" s="132">
        <f>IFERROR((G19+J19)/D19,0)</f>
        <v/>
      </c>
      <c r="O19" s="132">
        <f>IFERROR(H19/D19,0)</f>
        <v/>
      </c>
      <c r="P19" s="128">
        <f>IFERROR(XLOOKUP(DATE(2026,8,1),tblNW[Date],tblNW[Net Worth (Calculated)]),"N/A")</f>
        <v/>
      </c>
    </row>
    <row r="20">
      <c r="B20" s="127" t="n">
        <v>46266</v>
      </c>
      <c r="C20" s="128">
        <f>IFERROR(SUMIFS(tblTx[THB Equivalent],tblTx[Type],"Income",tblTx[Status],"Confirmed",tblTx[Date],"&gt;="&amp;DATE(2026,9,1),tblTx[Date],"&lt;="&amp;EOMONTH(DATE(2026,9,1),0))+SUMIFS(tblTx[THB Equivalent],tblTx[Type],"Interest",tblTx[Status],"Confirmed",tblTx[Date],"&gt;="&amp;DATE(2026,9,1),tblTx[Date],"&lt;="&amp;EOMONTH(DATE(2026,9,1),0))+SUMIFS(tblTx[THB Equivalent],tblTx[Type],"Dividend",tblTx[Status],"Confirmed",tblTx[Date],"&gt;="&amp;DATE(2026,9,1),tblTx[Date],"&lt;="&amp;EOMONTH(DATE(2026,9,1),0)),0)</f>
        <v/>
      </c>
      <c r="D20" s="129">
        <f>XLOOKUP("BASE_SALARY",tblSettings[Key],tblSettings[Value])+XLOOKUP("TRAVEL_ALLOWANCE",tblSettings[Key],tblSettings[Value])+XLOOKUP("COST_OF_LIVING",tblSettings[Key],tblSettings[Value])</f>
        <v/>
      </c>
      <c r="E20" s="128">
        <f>IFERROR(SUMIFS(tblTx[THB Equivalent],tblTx[Type],"Expense",tblTx[Status],"Confirmed",tblTx[Date],"&gt;="&amp;DATE(2026,9,1),tblTx[Date],"&lt;="&amp;EOMONTH(DATE(2026,9,1),0))+SUMIFS(tblTx[THB Equivalent],tblTx[Type],"Fee",tblTx[Status],"Confirmed",tblTx[Date],"&gt;="&amp;DATE(2026,9,1),tblTx[Date],"&lt;="&amp;EOMONTH(DATE(2026,9,1),0)),0)</f>
        <v/>
      </c>
      <c r="F20" s="129">
        <f>IFERROR(SUMIFS(tblBudget[Budget],tblBudget[Month],DATE(2026,9,1),tblBudget[Category],"Daily Expenses")+SUMIFS(tblBudget[Budget],tblBudget[Month],DATE(2026,9,1),tblBudget[Category],"Cat")+SUMIFS(tblBudget[Budget],tblBudget[Month],DATE(2026,9,1),tblBudget[Category],"Parking"),0)</f>
        <v/>
      </c>
      <c r="G20" s="128">
        <f>IFERROR(SUMIFS(tblTx[THB Equivalent],tblTx[Category],"Saving",tblTx[Status],"Confirmed",tblTx[Date],"&gt;="&amp;DATE(2026,9,1),tblTx[Date],"&lt;="&amp;EOMONTH(DATE(2026,9,1),0)),0)</f>
        <v/>
      </c>
      <c r="H20" s="128">
        <f>IFERROR(SUMIFS(tblInvTx[THB Value],tblInvTx[Transaction Type],"Buy",tblInvTx[Date],"&gt;="&amp;DATE(2026,9,1),tblInvTx[Date],"&lt;="&amp;EOMONTH(DATE(2026,9,1),0)),0)</f>
        <v/>
      </c>
      <c r="I20" s="129">
        <f>XLOOKUP("DCA_US_STOCKS",tblSettings[Key],tblSettings[Value])+XLOOKUP("DCA_INVEST_RESERVE",tblSettings[Key],tblSettings[Value])</f>
        <v/>
      </c>
      <c r="J20" s="128">
        <f>IFERROR(SUMIFS(tblTx[THB Equivalent],tblTx[Type],"PVD Contribution",tblTx[Status],"Confirmed",tblTx[Date],"&gt;="&amp;DATE(2026,9,1),tblTx[Date],"&lt;="&amp;EOMONTH(DATE(2026,9,1),0)),0)</f>
        <v/>
      </c>
      <c r="K20" s="128">
        <f>IFERROR(SUMIFS(tblTx[THB Equivalent],tblTx[Type],"PVD Employer",tblTx[Status],"Confirmed",tblTx[Date],"&gt;="&amp;DATE(2026,9,1),tblTx[Date],"&lt;="&amp;EOMONTH(DATE(2026,9,1),0)),0)</f>
        <v/>
      </c>
      <c r="L20" s="130">
        <f>C20-E20-G20-H20-J20</f>
        <v/>
      </c>
      <c r="M20" s="131">
        <f>D20-F20-I20-XLOOKUP("BASE_SALARY",tblSettings[Key],tblSettings[Value])*XLOOKUP("PVD_EMPLOYEE_PCT",tblSettings[Key],tblSettings[Value])</f>
        <v/>
      </c>
      <c r="N20" s="132">
        <f>IFERROR((G20+J20)/D20,0)</f>
        <v/>
      </c>
      <c r="O20" s="132">
        <f>IFERROR(H20/D20,0)</f>
        <v/>
      </c>
      <c r="P20" s="128">
        <f>IFERROR(XLOOKUP(DATE(2026,9,1),tblNW[Date],tblNW[Net Worth (Calculated)]),"N/A")</f>
        <v/>
      </c>
    </row>
    <row r="23">
      <c r="B23" s="133" t="inlineStr">
        <is>
          <t>⚠ ไฟล์ต้นทางไม่มีการบันทึกรายรับ/รายจ่ายรายวันเลย (มีแต่แผนงบประมาณ) — คอลัมน์ Actual ของ Income/Expense จึงเป็น 0 จนกว่าจะเริ่มบันทึกผ่าน 04_TRANSACTIONS หรือ 16_INBOX ส่วน Investment / PVD Actual มีข้อมูลจริงครบแล้ว</t>
        </is>
      </c>
    </row>
    <row r="24"/>
  </sheetData>
  <mergeCells count="1">
    <mergeCell ref="B23:P24"/>
  </mergeCells>
  <conditionalFormatting sqref="L6:L20">
    <cfRule type="cellIs" priority="1" operator="lessThan" dxfId="5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6FEB"/>
    <outlinePr summaryBelow="1" summaryRight="1"/>
    <pageSetUpPr/>
  </sheetPr>
  <dimension ref="B2:R25"/>
  <sheetViews>
    <sheetView showGridLines="0" tabSelected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30" customWidth="1" min="3" max="3"/>
    <col width="22" customWidth="1" min="4" max="4"/>
    <col width="13" customWidth="1" min="5" max="5"/>
    <col width="9" customWidth="1" min="6" max="6"/>
    <col width="26" customWidth="1" min="7" max="7"/>
    <col width="15" customWidth="1" min="8" max="8"/>
    <col width="12" customWidth="1" min="9" max="9"/>
    <col width="15" customWidth="1" min="10" max="10"/>
    <col width="16" customWidth="1" min="11" max="11"/>
    <col width="16" customWidth="1" min="12" max="12"/>
    <col width="13" customWidth="1" min="13" max="13"/>
    <col width="16" customWidth="1" min="14" max="14"/>
    <col width="12" customWidth="1" min="15" max="15"/>
    <col width="34" customWidth="1" min="16" max="16"/>
    <col width="14" customWidth="1" min="17" max="17"/>
    <col width="13" customWidth="1" min="18" max="18"/>
  </cols>
  <sheetData>
    <row r="2" ht="26" customHeight="1">
      <c r="B2" s="124" t="inlineStr">
        <is>
          <t>03_ACCOUNTS — ทะเบียนบัญชีหลัก (Master)</t>
        </is>
      </c>
    </row>
    <row r="3" ht="14" customHeight="1">
      <c r="B3" s="125" t="inlineStr">
        <is>
          <t>Current Balance ของบัญชีเงินสด = Opening + ยอดเคลื่อนไหวจาก 04_TRANSACTIONS | บัญชีลงทุนดึงมูลค่าตลาดจาก 06_INVESTMENT | PVD ดึงจาก 09_PVD</t>
        </is>
      </c>
    </row>
    <row r="5" ht="30" customHeight="1">
      <c r="B5" s="126" t="inlineStr">
        <is>
          <t>Account ID</t>
        </is>
      </c>
      <c r="C5" s="126" t="inlineStr">
        <is>
          <t>Account Name</t>
        </is>
      </c>
      <c r="D5" s="126" t="inlineStr">
        <is>
          <t>Institution</t>
        </is>
      </c>
      <c r="E5" s="126" t="inlineStr">
        <is>
          <t>Account Type</t>
        </is>
      </c>
      <c r="F5" s="126" t="inlineStr">
        <is>
          <t>Currency</t>
        </is>
      </c>
      <c r="G5" s="126" t="inlineStr">
        <is>
          <t>Purpose</t>
        </is>
      </c>
      <c r="H5" s="126" t="inlineStr">
        <is>
          <t>Opening Balance</t>
        </is>
      </c>
      <c r="I5" s="126" t="inlineStr">
        <is>
          <t>Opening Date</t>
        </is>
      </c>
      <c r="J5" s="126" t="inlineStr">
        <is>
          <t>Movement (TX)</t>
        </is>
      </c>
      <c r="K5" s="126" t="inlineStr">
        <is>
          <t>Current Balance</t>
        </is>
      </c>
      <c r="L5" s="126" t="inlineStr">
        <is>
          <t>Reported Balance</t>
        </is>
      </c>
      <c r="M5" s="126" t="inlineStr">
        <is>
          <t>Difference</t>
        </is>
      </c>
      <c r="N5" s="126" t="inlineStr">
        <is>
          <t>Available Balance</t>
        </is>
      </c>
      <c r="O5" s="126" t="inlineStr">
        <is>
          <t>Last Updated</t>
        </is>
      </c>
      <c r="P5" s="126" t="inlineStr">
        <is>
          <t>Source</t>
        </is>
      </c>
      <c r="Q5" s="126" t="inlineStr">
        <is>
          <t>Data Status</t>
        </is>
      </c>
      <c r="R5" s="126" t="inlineStr">
        <is>
          <t>Status</t>
        </is>
      </c>
    </row>
    <row r="6">
      <c r="B6" s="134" t="inlineStr">
        <is>
          <t>ACC-SCB-01</t>
        </is>
      </c>
      <c r="C6" s="135" t="inlineStr">
        <is>
          <t>SCB Salary Account</t>
        </is>
      </c>
      <c r="D6" s="136" t="inlineStr">
        <is>
          <t>SCB</t>
        </is>
      </c>
      <c r="E6" s="137" t="inlineStr">
        <is>
          <t>Bank</t>
        </is>
      </c>
      <c r="F6" s="137" t="inlineStr">
        <is>
          <t>THB</t>
        </is>
      </c>
      <c r="G6" s="138" t="inlineStr">
        <is>
          <t>เงินเดือนเข้า / ต้นทางโอน</t>
        </is>
      </c>
      <c r="H6" s="139" t="inlineStr">
        <is>
          <t>N/A</t>
        </is>
      </c>
      <c r="I6" s="137" t="inlineStr">
        <is>
          <t>N/A</t>
        </is>
      </c>
      <c r="J6" s="128">
        <f>IFERROR(SUMIFS(tblTx[Dest Amount],tblTx[Destination Account],[@[Account Name]],tblTx[Status],"Confirmed")-SUMIFS(tblTx[Amount],tblTx[Source Account],[@[Account Name]],tblTx[Status],"Confirmed"),0)</f>
        <v/>
      </c>
      <c r="K6" s="140">
        <f>"N/A"</f>
        <v/>
      </c>
      <c r="L6" s="141" t="inlineStr">
        <is>
          <t>N/A</t>
        </is>
      </c>
      <c r="M6" s="128">
        <f>IFERROR(K6-L6,"N/A")</f>
        <v/>
      </c>
      <c r="N6" s="128">
        <f>IFERROR(IF(E6="Investment","—",K6),"N/A")</f>
        <v/>
      </c>
      <c r="O6" s="137" t="inlineStr">
        <is>
          <t>N/A</t>
        </is>
      </c>
      <c r="P6" s="142" t="inlineStr">
        <is>
          <t>—</t>
        </is>
      </c>
      <c r="Q6" s="137" t="inlineStr">
        <is>
          <t>Missing</t>
        </is>
      </c>
      <c r="R6" s="143" t="inlineStr">
        <is>
          <t>Missing Data</t>
        </is>
      </c>
    </row>
    <row r="7">
      <c r="B7" s="134" t="inlineStr">
        <is>
          <t>ACC-SCB-02</t>
        </is>
      </c>
      <c r="C7" s="135" t="inlineStr">
        <is>
          <t>SCB Daily Living Account</t>
        </is>
      </c>
      <c r="D7" s="136" t="inlineStr">
        <is>
          <t>SCB</t>
        </is>
      </c>
      <c r="E7" s="137" t="inlineStr">
        <is>
          <t>Bank</t>
        </is>
      </c>
      <c r="F7" s="137" t="inlineStr">
        <is>
          <t>THB</t>
        </is>
      </c>
      <c r="G7" s="138" t="inlineStr">
        <is>
          <t>ใช้จ่ายรายวัน</t>
        </is>
      </c>
      <c r="H7" s="139" t="inlineStr">
        <is>
          <t>N/A</t>
        </is>
      </c>
      <c r="I7" s="137" t="inlineStr">
        <is>
          <t>N/A</t>
        </is>
      </c>
      <c r="J7" s="128">
        <f>IFERROR(SUMIFS(tblTx[Dest Amount],tblTx[Destination Account],[@[Account Name]],tblTx[Status],"Confirmed")-SUMIFS(tblTx[Amount],tblTx[Source Account],[@[Account Name]],tblTx[Status],"Confirmed"),0)</f>
        <v/>
      </c>
      <c r="K7" s="140">
        <f>"N/A"</f>
        <v/>
      </c>
      <c r="L7" s="141" t="inlineStr">
        <is>
          <t>N/A</t>
        </is>
      </c>
      <c r="M7" s="128">
        <f>IFERROR(K7-L7,"N/A")</f>
        <v/>
      </c>
      <c r="N7" s="128">
        <f>IFERROR(IF(E7="Investment","—",K7),"N/A")</f>
        <v/>
      </c>
      <c r="O7" s="137" t="inlineStr">
        <is>
          <t>N/A</t>
        </is>
      </c>
      <c r="P7" s="142" t="inlineStr">
        <is>
          <t>—</t>
        </is>
      </c>
      <c r="Q7" s="137" t="inlineStr">
        <is>
          <t>Missing</t>
        </is>
      </c>
      <c r="R7" s="143" t="inlineStr">
        <is>
          <t>Missing Data</t>
        </is>
      </c>
    </row>
    <row r="8">
      <c r="B8" s="134" t="inlineStr">
        <is>
          <t>ACC-SCB-03</t>
        </is>
      </c>
      <c r="C8" s="135" t="inlineStr">
        <is>
          <t>SCB Emergency Reserve Account</t>
        </is>
      </c>
      <c r="D8" s="136" t="inlineStr">
        <is>
          <t>SCB</t>
        </is>
      </c>
      <c r="E8" s="137" t="inlineStr">
        <is>
          <t>Savings</t>
        </is>
      </c>
      <c r="F8" s="137" t="inlineStr">
        <is>
          <t>THB</t>
        </is>
      </c>
      <c r="G8" s="138" t="inlineStr">
        <is>
          <t>เงินสำรองฉุกเฉิน</t>
        </is>
      </c>
      <c r="H8" s="139" t="inlineStr">
        <is>
          <t>N/A</t>
        </is>
      </c>
      <c r="I8" s="137" t="inlineStr">
        <is>
          <t>N/A</t>
        </is>
      </c>
      <c r="J8" s="128">
        <f>IFERROR(SUMIFS(tblTx[Dest Amount],tblTx[Destination Account],[@[Account Name]],tblTx[Status],"Confirmed")-SUMIFS(tblTx[Amount],tblTx[Source Account],[@[Account Name]],tblTx[Status],"Confirmed"),0)</f>
        <v/>
      </c>
      <c r="K8" s="140">
        <f>"N/A"</f>
        <v/>
      </c>
      <c r="L8" s="141" t="inlineStr">
        <is>
          <t>N/A</t>
        </is>
      </c>
      <c r="M8" s="128">
        <f>IFERROR(K8-L8,"N/A")</f>
        <v/>
      </c>
      <c r="N8" s="128">
        <f>IFERROR(IF(E8="Investment","—",K8),"N/A")</f>
        <v/>
      </c>
      <c r="O8" s="137" t="inlineStr">
        <is>
          <t>N/A</t>
        </is>
      </c>
      <c r="P8" s="142" t="inlineStr">
        <is>
          <t>—</t>
        </is>
      </c>
      <c r="Q8" s="137" t="inlineStr">
        <is>
          <t>Missing</t>
        </is>
      </c>
      <c r="R8" s="143" t="inlineStr">
        <is>
          <t>Missing Data</t>
        </is>
      </c>
    </row>
    <row r="9">
      <c r="B9" s="134" t="inlineStr">
        <is>
          <t>ACC-GSB-01</t>
        </is>
      </c>
      <c r="C9" s="135" t="inlineStr">
        <is>
          <t>GSB Deposit Account</t>
        </is>
      </c>
      <c r="D9" s="136" t="inlineStr">
        <is>
          <t>Government Savings Bank</t>
        </is>
      </c>
      <c r="E9" s="137" t="inlineStr">
        <is>
          <t>Bank</t>
        </is>
      </c>
      <c r="F9" s="137" t="inlineStr">
        <is>
          <t>THB</t>
        </is>
      </c>
      <c r="G9" s="138" t="inlineStr">
        <is>
          <t>เงินฝากประจำ</t>
        </is>
      </c>
      <c r="H9" s="139" t="inlineStr">
        <is>
          <t>N/A</t>
        </is>
      </c>
      <c r="I9" s="137" t="inlineStr">
        <is>
          <t>N/A</t>
        </is>
      </c>
      <c r="J9" s="128">
        <f>IFERROR(SUMIFS(tblTx[Dest Amount],tblTx[Destination Account],[@[Account Name]],tblTx[Status],"Confirmed")-SUMIFS(tblTx[Amount],tblTx[Source Account],[@[Account Name]],tblTx[Status],"Confirmed"),0)</f>
        <v/>
      </c>
      <c r="K9" s="140">
        <f>"N/A"</f>
        <v/>
      </c>
      <c r="L9" s="141" t="inlineStr">
        <is>
          <t>N/A</t>
        </is>
      </c>
      <c r="M9" s="128">
        <f>IFERROR(K9-L9,"N/A")</f>
        <v/>
      </c>
      <c r="N9" s="128">
        <f>IFERROR(IF(E9="Investment","—",K9),"N/A")</f>
        <v/>
      </c>
      <c r="O9" s="137" t="inlineStr">
        <is>
          <t>N/A</t>
        </is>
      </c>
      <c r="P9" s="142" t="inlineStr">
        <is>
          <t>—</t>
        </is>
      </c>
      <c r="Q9" s="137" t="inlineStr">
        <is>
          <t>Missing</t>
        </is>
      </c>
      <c r="R9" s="143" t="inlineStr">
        <is>
          <t>Missing Data</t>
        </is>
      </c>
    </row>
    <row r="10">
      <c r="B10" s="134" t="inlineStr">
        <is>
          <t>ACC-GSB-02</t>
        </is>
      </c>
      <c r="C10" s="135" t="inlineStr">
        <is>
          <t>GSB Digital Savings Lottery</t>
        </is>
      </c>
      <c r="D10" s="136" t="inlineStr">
        <is>
          <t>Government Savings Bank</t>
        </is>
      </c>
      <c r="E10" s="137" t="inlineStr">
        <is>
          <t>Savings</t>
        </is>
      </c>
      <c r="F10" s="137" t="inlineStr">
        <is>
          <t>THB</t>
        </is>
      </c>
      <c r="G10" s="138" t="inlineStr">
        <is>
          <t>สลากออมสินดิจิทัล</t>
        </is>
      </c>
      <c r="H10" s="139" t="inlineStr">
        <is>
          <t>N/A</t>
        </is>
      </c>
      <c r="I10" s="137" t="inlineStr">
        <is>
          <t>N/A</t>
        </is>
      </c>
      <c r="J10" s="128">
        <f>IFERROR(SUMIFS(tblTx[Dest Amount],tblTx[Destination Account],[@[Account Name]],tblTx[Status],"Confirmed")-SUMIFS(tblTx[Amount],tblTx[Source Account],[@[Account Name]],tblTx[Status],"Confirmed"),0)</f>
        <v/>
      </c>
      <c r="K10" s="140">
        <f>"N/A"</f>
        <v/>
      </c>
      <c r="L10" s="141" t="inlineStr">
        <is>
          <t>N/A</t>
        </is>
      </c>
      <c r="M10" s="128">
        <f>IFERROR(K10-L10,"N/A")</f>
        <v/>
      </c>
      <c r="N10" s="128">
        <f>IFERROR(IF(E10="Investment","—",K10),"N/A")</f>
        <v/>
      </c>
      <c r="O10" s="137" t="inlineStr">
        <is>
          <t>N/A</t>
        </is>
      </c>
      <c r="P10" s="142" t="inlineStr">
        <is>
          <t>—</t>
        </is>
      </c>
      <c r="Q10" s="137" t="inlineStr">
        <is>
          <t>Missing</t>
        </is>
      </c>
      <c r="R10" s="143" t="inlineStr">
        <is>
          <t>Missing Data</t>
        </is>
      </c>
    </row>
    <row r="11">
      <c r="B11" s="134" t="inlineStr">
        <is>
          <t>ACC-DIME-01</t>
        </is>
      </c>
      <c r="C11" s="135" t="inlineStr">
        <is>
          <t>Dime Save THB</t>
        </is>
      </c>
      <c r="D11" s="136" t="inlineStr">
        <is>
          <t>Dime</t>
        </is>
      </c>
      <c r="E11" s="137" t="inlineStr">
        <is>
          <t>Savings</t>
        </is>
      </c>
      <c r="F11" s="137" t="inlineStr">
        <is>
          <t>THB</t>
        </is>
      </c>
      <c r="G11" s="138" t="inlineStr">
        <is>
          <t>พักเงินก่อนแลก/ลงทุน</t>
        </is>
      </c>
      <c r="H11" s="128" t="n">
        <v>89688.44</v>
      </c>
      <c r="I11" s="144" t="n">
        <v>45839</v>
      </c>
      <c r="J11" s="128">
        <f>IFERROR(SUMIFS(tblTx[Dest Amount],tblTx[Destination Account],[@[Account Name]],tblTx[Status],"Confirmed")-SUMIFS(tblTx[Amount],tblTx[Source Account],[@[Account Name]],tblTx[Status],"Confirmed"),0)</f>
        <v/>
      </c>
      <c r="K11" s="140">
        <f>H11+J11</f>
        <v/>
      </c>
      <c r="L11" s="129" t="n">
        <v>19126.1</v>
      </c>
      <c r="M11" s="128">
        <f>IFERROR(K11-L11,"N/A")</f>
        <v/>
      </c>
      <c r="N11" s="128">
        <f>IFERROR(IF(E11="Investment","—",K11),"N/A")</f>
        <v/>
      </c>
      <c r="O11" s="144" t="n">
        <v>46274</v>
      </c>
      <c r="P11" s="142" t="inlineStr">
        <is>
          <t>Dime app screenshot S__50044937_0.jpg</t>
        </is>
      </c>
      <c r="Q11" s="137" t="inlineStr">
        <is>
          <t>Reported</t>
        </is>
      </c>
      <c r="R11" s="145" t="inlineStr">
        <is>
          <t>Active</t>
        </is>
      </c>
    </row>
    <row r="12">
      <c r="B12" s="134" t="inlineStr">
        <is>
          <t>ACC-DIME-02</t>
        </is>
      </c>
      <c r="C12" s="135" t="inlineStr">
        <is>
          <t>Dime FCD USD</t>
        </is>
      </c>
      <c r="D12" s="136" t="inlineStr">
        <is>
          <t>Dime</t>
        </is>
      </c>
      <c r="E12" s="137" t="inlineStr">
        <is>
          <t>FCD</t>
        </is>
      </c>
      <c r="F12" s="137" t="inlineStr">
        <is>
          <t>USD</t>
        </is>
      </c>
      <c r="G12" s="138" t="inlineStr">
        <is>
          <t>บัญชีเงินตราต่างประเทศ</t>
        </is>
      </c>
      <c r="H12" s="146" t="n">
        <v>633.2</v>
      </c>
      <c r="I12" s="144" t="n">
        <v>45839</v>
      </c>
      <c r="J12" s="146">
        <f>IFERROR(SUMIFS(tblTx[Dest Amount],tblTx[Destination Account],[@[Account Name]],tblTx[Status],"Confirmed")-SUMIFS(tblTx[Amount],tblTx[Source Account],[@[Account Name]],tblTx[Status],"Confirmed"),0)</f>
        <v/>
      </c>
      <c r="K12" s="147">
        <f>H12+J12</f>
        <v/>
      </c>
      <c r="L12" s="148" t="n">
        <v>753.49</v>
      </c>
      <c r="M12" s="146">
        <f>IFERROR(K12-L12,"N/A")</f>
        <v/>
      </c>
      <c r="N12" s="146">
        <f>IFERROR(IF(E12="Investment","—",K12),"N/A")</f>
        <v/>
      </c>
      <c r="O12" s="144" t="n">
        <v>46274</v>
      </c>
      <c r="P12" s="142" t="inlineStr">
        <is>
          <t>Dime app screenshot</t>
        </is>
      </c>
      <c r="Q12" s="137" t="inlineStr">
        <is>
          <t>Reported</t>
        </is>
      </c>
      <c r="R12" s="145" t="inlineStr">
        <is>
          <t>Active</t>
        </is>
      </c>
    </row>
    <row r="13">
      <c r="B13" s="134" t="inlineStr">
        <is>
          <t>ACC-DIME-03</t>
        </is>
      </c>
      <c r="C13" s="135" t="inlineStr">
        <is>
          <t>Dime USD</t>
        </is>
      </c>
      <c r="D13" s="136" t="inlineStr">
        <is>
          <t>Dime</t>
        </is>
      </c>
      <c r="E13" s="137" t="inlineStr">
        <is>
          <t>Cash</t>
        </is>
      </c>
      <c r="F13" s="137" t="inlineStr">
        <is>
          <t>USD</t>
        </is>
      </c>
      <c r="G13" s="138" t="inlineStr">
        <is>
          <t>เงินสด USD คงเหลือ</t>
        </is>
      </c>
      <c r="H13" s="146" t="n">
        <v>1.39</v>
      </c>
      <c r="I13" s="144" t="n">
        <v>45839</v>
      </c>
      <c r="J13" s="146">
        <f>IFERROR(SUMIFS(tblTx[Dest Amount],tblTx[Destination Account],[@[Account Name]],tblTx[Status],"Confirmed")-SUMIFS(tblTx[Amount],tblTx[Source Account],[@[Account Name]],tblTx[Status],"Confirmed"),0)</f>
        <v/>
      </c>
      <c r="K13" s="147">
        <f>H13+J13</f>
        <v/>
      </c>
      <c r="L13" s="148" t="n">
        <v>1.39</v>
      </c>
      <c r="M13" s="146">
        <f>IFERROR(K13-L13,"N/A")</f>
        <v/>
      </c>
      <c r="N13" s="146">
        <f>IFERROR(IF(E13="Investment","—",K13),"N/A")</f>
        <v/>
      </c>
      <c r="O13" s="144" t="n">
        <v>46274</v>
      </c>
      <c r="P13" s="142" t="inlineStr">
        <is>
          <t>Dime app screenshot</t>
        </is>
      </c>
      <c r="Q13" s="137" t="inlineStr">
        <is>
          <t>Reported</t>
        </is>
      </c>
      <c r="R13" s="145" t="inlineStr">
        <is>
          <t>Active</t>
        </is>
      </c>
    </row>
    <row r="14">
      <c r="B14" s="134" t="inlineStr">
        <is>
          <t>ACC-DIME-04</t>
        </is>
      </c>
      <c r="C14" s="135" t="inlineStr">
        <is>
          <t>Dime Accrued Interest</t>
        </is>
      </c>
      <c r="D14" s="136" t="inlineStr">
        <is>
          <t>Dime</t>
        </is>
      </c>
      <c r="E14" s="137" t="inlineStr">
        <is>
          <t>Cash</t>
        </is>
      </c>
      <c r="F14" s="137" t="inlineStr">
        <is>
          <t>THB</t>
        </is>
      </c>
      <c r="G14" s="138" t="inlineStr">
        <is>
          <t>ดอกเบี้ยสะสมรอรับ</t>
        </is>
      </c>
      <c r="H14" s="128" t="n">
        <v>253.78</v>
      </c>
      <c r="I14" s="144" t="n">
        <v>45839</v>
      </c>
      <c r="J14" s="128">
        <f>IFERROR(SUMIFS(tblTx[Dest Amount],tblTx[Destination Account],[@[Account Name]],tblTx[Status],"Confirmed")-SUMIFS(tblTx[Amount],tblTx[Source Account],[@[Account Name]],tblTx[Status],"Confirmed"),0)</f>
        <v/>
      </c>
      <c r="K14" s="140">
        <f>H14+J14</f>
        <v/>
      </c>
      <c r="L14" s="129" t="n">
        <v>253.78</v>
      </c>
      <c r="M14" s="128">
        <f>IFERROR(K14-L14,"N/A")</f>
        <v/>
      </c>
      <c r="N14" s="128">
        <f>IFERROR(IF(E14="Investment","—",K14),"N/A")</f>
        <v/>
      </c>
      <c r="O14" s="144" t="n">
        <v>46274</v>
      </c>
      <c r="P14" s="142" t="inlineStr">
        <is>
          <t>Dime app screenshot</t>
        </is>
      </c>
      <c r="Q14" s="137" t="inlineStr">
        <is>
          <t>Reported</t>
        </is>
      </c>
      <c r="R14" s="149" t="inlineStr">
        <is>
          <t>Review</t>
        </is>
      </c>
    </row>
    <row r="15">
      <c r="B15" s="134" t="inlineStr">
        <is>
          <t>ACC-DIME-05</t>
        </is>
      </c>
      <c r="C15" s="135" t="inlineStr">
        <is>
          <t>Dime SET</t>
        </is>
      </c>
      <c r="D15" s="136" t="inlineStr">
        <is>
          <t>Dime</t>
        </is>
      </c>
      <c r="E15" s="137" t="inlineStr">
        <is>
          <t>Investment</t>
        </is>
      </c>
      <c r="F15" s="137" t="inlineStr">
        <is>
          <t>THB</t>
        </is>
      </c>
      <c r="G15" s="138" t="inlineStr">
        <is>
          <t>พอร์ตหุ้นไทย</t>
        </is>
      </c>
      <c r="H15" s="139" t="inlineStr">
        <is>
          <t>N/A</t>
        </is>
      </c>
      <c r="I15" s="137" t="inlineStr">
        <is>
          <t>N/A</t>
        </is>
      </c>
      <c r="J15" s="128">
        <f>IFERROR(SUMIFS(tblTx[Dest Amount],tblTx[Destination Account],[@[Account Name]],tblTx[Status],"Confirmed")-SUMIFS(tblTx[Amount],tblTx[Source Account],[@[Account Name]],tblTx[Status],"Confirmed"),0)</f>
        <v/>
      </c>
      <c r="K15" s="140">
        <f>IFERROR(SUMIFS(tblInv[Current Value (Local)],tblInv[Market],"SET"),0)</f>
        <v/>
      </c>
      <c r="L15" s="129" t="n">
        <v>14632</v>
      </c>
      <c r="M15" s="128">
        <f>IFERROR(K15-L15,"N/A")</f>
        <v/>
      </c>
      <c r="N15" s="128">
        <f>IFERROR(IF(E15="Investment","—",K15),"N/A")</f>
        <v/>
      </c>
      <c r="O15" s="144" t="n">
        <v>46190</v>
      </c>
      <c r="P15" s="142" t="inlineStr">
        <is>
          <t>SET sheet (legacy)</t>
        </is>
      </c>
      <c r="Q15" s="137" t="inlineStr">
        <is>
          <t>Reported</t>
        </is>
      </c>
      <c r="R15" s="149" t="inlineStr">
        <is>
          <t>Stale</t>
        </is>
      </c>
    </row>
    <row r="16">
      <c r="B16" s="134" t="inlineStr">
        <is>
          <t>ACC-DIME-06</t>
        </is>
      </c>
      <c r="C16" s="135" t="inlineStr">
        <is>
          <t>Dime US Stocks</t>
        </is>
      </c>
      <c r="D16" s="136" t="inlineStr">
        <is>
          <t>Dime</t>
        </is>
      </c>
      <c r="E16" s="137" t="inlineStr">
        <is>
          <t>Investment</t>
        </is>
      </c>
      <c r="F16" s="137" t="inlineStr">
        <is>
          <t>USD</t>
        </is>
      </c>
      <c r="G16" s="138" t="inlineStr">
        <is>
          <t>พอร์ตหุ้นสหรัฐ</t>
        </is>
      </c>
      <c r="H16" s="139" t="inlineStr">
        <is>
          <t>N/A</t>
        </is>
      </c>
      <c r="I16" s="137" t="inlineStr">
        <is>
          <t>N/A</t>
        </is>
      </c>
      <c r="J16" s="146">
        <f>IFERROR(SUMIFS(tblTx[Dest Amount],tblTx[Destination Account],[@[Account Name]],tblTx[Status],"Confirmed")-SUMIFS(tblTx[Amount],tblTx[Source Account],[@[Account Name]],tblTx[Status],"Confirmed"),0)</f>
        <v/>
      </c>
      <c r="K16" s="147">
        <f>IFERROR(SUMIFS(tblInv[Current Value (Local)],tblInv[Market],"US"),0)</f>
        <v/>
      </c>
      <c r="L16" s="148" t="n">
        <v>3731.28</v>
      </c>
      <c r="M16" s="146">
        <f>IFERROR(K16-L16,"N/A")</f>
        <v/>
      </c>
      <c r="N16" s="146">
        <f>IFERROR(IF(E16="Investment","—",K16),"N/A")</f>
        <v/>
      </c>
      <c r="O16" s="144" t="n">
        <v>46279</v>
      </c>
      <c r="P16" s="142" t="inlineStr">
        <is>
          <t>Dime app IMG_7021/7022/7023</t>
        </is>
      </c>
      <c r="Q16" s="137" t="inlineStr">
        <is>
          <t>Reported</t>
        </is>
      </c>
      <c r="R16" s="145" t="inlineStr">
        <is>
          <t>Active</t>
        </is>
      </c>
    </row>
    <row r="17">
      <c r="B17" s="134" t="inlineStr">
        <is>
          <t>ACC-DIME-07</t>
        </is>
      </c>
      <c r="C17" s="135" t="inlineStr">
        <is>
          <t>Dime Gold</t>
        </is>
      </c>
      <c r="D17" s="136" t="inlineStr">
        <is>
          <t>Dime</t>
        </is>
      </c>
      <c r="E17" s="137" t="inlineStr">
        <is>
          <t>Investment</t>
        </is>
      </c>
      <c r="F17" s="137" t="inlineStr">
        <is>
          <t>USD</t>
        </is>
      </c>
      <c r="G17" s="138" t="inlineStr">
        <is>
          <t>MTS-GOLD (ปิดสถานะแล้ว)</t>
        </is>
      </c>
      <c r="H17" s="139" t="inlineStr">
        <is>
          <t>N/A</t>
        </is>
      </c>
      <c r="I17" s="137" t="inlineStr">
        <is>
          <t>N/A</t>
        </is>
      </c>
      <c r="J17" s="146">
        <f>IFERROR(SUMIFS(tblTx[Dest Amount],tblTx[Destination Account],[@[Account Name]],tblTx[Status],"Confirmed")-SUMIFS(tblTx[Amount],tblTx[Source Account],[@[Account Name]],tblTx[Status],"Confirmed"),0)</f>
        <v/>
      </c>
      <c r="K17" s="147">
        <f>IFERROR(SUMIFS(tblInv[Current Value (Local)],tblInv[Market],"Commodity"),0)</f>
        <v/>
      </c>
      <c r="L17" s="148" t="n">
        <v>0</v>
      </c>
      <c r="M17" s="146">
        <f>IFERROR(K17-L17,"N/A")</f>
        <v/>
      </c>
      <c r="N17" s="146">
        <f>IFERROR(IF(E17="Investment","—",K17),"N/A")</f>
        <v/>
      </c>
      <c r="O17" s="144" t="n">
        <v>46254</v>
      </c>
      <c r="P17" s="142" t="inlineStr">
        <is>
          <t>Dime app IMG_7097-7102</t>
        </is>
      </c>
      <c r="Q17" s="137" t="inlineStr">
        <is>
          <t>Reported</t>
        </is>
      </c>
      <c r="R17" s="150" t="inlineStr">
        <is>
          <t>Closed</t>
        </is>
      </c>
    </row>
    <row r="18">
      <c r="B18" s="134" t="inlineStr">
        <is>
          <t>ACC-PVD-01</t>
        </is>
      </c>
      <c r="C18" s="135" t="inlineStr">
        <is>
          <t>PVD</t>
        </is>
      </c>
      <c r="D18" s="136" t="inlineStr">
        <is>
          <t>บริษัทนายจ้าง</t>
        </is>
      </c>
      <c r="E18" s="137" t="inlineStr">
        <is>
          <t>PVD</t>
        </is>
      </c>
      <c r="F18" s="137" t="inlineStr">
        <is>
          <t>THB</t>
        </is>
      </c>
      <c r="G18" s="138" t="inlineStr">
        <is>
          <t>กองทุนสำรองเลี้ยงชีพ</t>
        </is>
      </c>
      <c r="H18" s="139" t="inlineStr">
        <is>
          <t>N/A</t>
        </is>
      </c>
      <c r="I18" s="137" t="inlineStr">
        <is>
          <t>N/A</t>
        </is>
      </c>
      <c r="J18" s="128">
        <f>IFERROR(SUMIFS(tblTx[Dest Amount],tblTx[Destination Account],[@[Account Name]],tblTx[Status],"Confirmed")-SUMIFS(tblTx[Amount],tblTx[Source Account],[@[Account Name]],tblTx[Status],"Confirmed"),0)</f>
        <v/>
      </c>
      <c r="K18" s="140">
        <f>IFERROR(LOOKUP(2,1/(tblPVD[Month]&lt;&gt;""),tblPVD[Ending Balance (Reported)]),0)</f>
        <v/>
      </c>
      <c r="L18" s="129" t="n">
        <v>58431.01</v>
      </c>
      <c r="M18" s="128">
        <f>IFERROR(K18-L18,"N/A")</f>
        <v/>
      </c>
      <c r="N18" s="128">
        <f>IFERROR(IF(E18="Investment","—",K18),"N/A")</f>
        <v/>
      </c>
      <c r="O18" s="144" t="n">
        <v>46266</v>
      </c>
      <c r="P18" s="142" t="inlineStr">
        <is>
          <t>PVD statement</t>
        </is>
      </c>
      <c r="Q18" s="137" t="inlineStr">
        <is>
          <t>Reported</t>
        </is>
      </c>
      <c r="R18" s="145" t="inlineStr">
        <is>
          <t>Active</t>
        </is>
      </c>
    </row>
    <row r="21">
      <c r="B21" s="151" t="inlineStr">
        <is>
          <t>⚠ บัญชี SCB 3 บัญชี และ GSB 2 บัญชี ยังไม่มีข้อมูลในไฟล์ต้นทาง — ระบบใส่ N/A ตามกฎข้อ 45 (ห้ามเดา / ห้ามใส่ 0) กรุณากรอก Opening Balance + Reported Balance แล้ว Total Cash บน Dashboard จะรวมให้อัตโนมัติ</t>
        </is>
      </c>
    </row>
    <row r="22"/>
    <row r="24">
      <c r="B24" s="152" t="inlineStr">
        <is>
          <t>Opening Balance ของ Dime เป็นค่าตั้งต้นย้อนกลับ (derived plug) เพราะ ประวัติโยกเงินเริ่มบันทึก ก.พ. 2569 และครอบคลุมเฉพาะ Dime — ทำให้ Current Balance ผูกกับ Reported ได้พอดี และรายการใหม่จากนี้จะเดินต่อเองอัตโนมัติ</t>
        </is>
      </c>
    </row>
    <row r="25"/>
  </sheetData>
  <mergeCells count="2">
    <mergeCell ref="B21:N22"/>
    <mergeCell ref="B24:N25"/>
  </mergeCells>
  <conditionalFormatting sqref="M6:M18">
    <cfRule type="cellIs" priority="1" operator="greaterThan" dxfId="6">
      <formula>0.01</formula>
    </cfRule>
    <cfRule type="cellIs" priority="2" operator="lessThan" dxfId="6">
      <formula>-0.01</formula>
    </cfRule>
  </conditionalFormatting>
  <dataValidations count="3">
    <dataValidation sqref="E6:E18" showDropDown="0" showInputMessage="0" showErrorMessage="0" allowBlank="1" errorTitle="ค่าไม่ถูกต้อง" error="ต้องเลือกจากรายการ AcctType เท่านั้น" type="list" errorStyle="stop">
      <formula1>_LISTS!$N$2:$N$7</formula1>
    </dataValidation>
    <dataValidation sqref="F6:F18" showDropDown="0" showInputMessage="0" showErrorMessage="0" allowBlank="1" errorTitle="ค่าไม่ถูกต้อง" error="ต้องเลือกจากรายการ Currency เท่านั้น" type="list" errorStyle="stop">
      <formula1>_LISTS!$D$2:$D$3</formula1>
    </dataValidation>
    <dataValidation sqref="Q6:Q18" showDropDown="0" showInputMessage="0" showErrorMessage="0" allowBlank="1" errorTitle="ค่าไม่ถูกต้อง" error="ต้องเลือกจากรายการ DataStatus เท่านั้น" type="list" errorStyle="stop">
      <formula1>_LISTS!$O$2:$O$7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3B8C"/>
    <outlinePr summaryBelow="1" summaryRight="1"/>
    <pageSetUpPr/>
  </sheetPr>
  <dimension ref="B2:X269"/>
  <sheetViews>
    <sheetView showGridLines="0" tabSelected="0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1" customWidth="1" min="3" max="3"/>
    <col width="9" customWidth="1" min="4" max="4"/>
    <col width="16" customWidth="1" min="5" max="5"/>
    <col width="22" customWidth="1" min="6" max="6"/>
    <col width="22" customWidth="1" min="7" max="7"/>
    <col width="14" customWidth="1" min="8" max="8"/>
    <col width="9" customWidth="1" min="9" max="9"/>
    <col width="10" customWidth="1" min="10" max="10"/>
    <col width="15" customWidth="1" min="11" max="11"/>
    <col width="13" customWidth="1" min="12" max="12"/>
    <col width="18" customWidth="1" min="13" max="13"/>
    <col width="11" customWidth="1" min="14" max="14"/>
    <col width="14" customWidth="1" min="15" max="15"/>
    <col width="13" customWidth="1" min="16" max="16"/>
    <col width="9" customWidth="1" min="17" max="17"/>
    <col width="13" customWidth="1" min="18" max="18"/>
    <col width="26" customWidth="1" min="19" max="19"/>
    <col width="54" customWidth="1" min="20" max="20"/>
    <col width="26" customWidth="1" min="21" max="21"/>
    <col width="12" customWidth="1" min="22" max="22"/>
    <col width="14" customWidth="1" min="23" max="23"/>
    <col width="11" customWidth="1" min="24" max="24"/>
  </cols>
  <sheetData>
    <row r="2" ht="26" customHeight="1">
      <c r="B2" s="124" t="inlineStr">
        <is>
          <t>04_TRANSACTIONS — บัญชีแยกประเภทหลักของระบบ</t>
        </is>
      </c>
    </row>
    <row r="3" ht="14" customHeight="1">
      <c r="B3" s="125" t="inlineStr">
        <is>
          <t>บันทึกครั้งเดียวที่นี่ — ทุกชีทสรุปและ Dashboard คำนวณต่อจากตารางนี้ | Transfer ระหว่างบัญชีตัวเอง ไม่นับเป็น Income และไม่นับเป็น Expense</t>
        </is>
      </c>
    </row>
    <row r="5" ht="30" customHeight="1">
      <c r="B5" s="126" t="inlineStr">
        <is>
          <t>Transaction ID</t>
        </is>
      </c>
      <c r="C5" s="126" t="inlineStr">
        <is>
          <t>Date</t>
        </is>
      </c>
      <c r="D5" s="126" t="inlineStr">
        <is>
          <t>Time</t>
        </is>
      </c>
      <c r="E5" s="126" t="inlineStr">
        <is>
          <t>Type</t>
        </is>
      </c>
      <c r="F5" s="126" t="inlineStr">
        <is>
          <t>Source Account</t>
        </is>
      </c>
      <c r="G5" s="126" t="inlineStr">
        <is>
          <t>Destination Account</t>
        </is>
      </c>
      <c r="H5" s="126" t="inlineStr">
        <is>
          <t>Amount</t>
        </is>
      </c>
      <c r="I5" s="126" t="inlineStr">
        <is>
          <t>Currency</t>
        </is>
      </c>
      <c r="J5" s="126" t="inlineStr">
        <is>
          <t>FX Rate</t>
        </is>
      </c>
      <c r="K5" s="126" t="inlineStr">
        <is>
          <t>THB Equivalent</t>
        </is>
      </c>
      <c r="L5" s="126" t="inlineStr">
        <is>
          <t>Category</t>
        </is>
      </c>
      <c r="M5" s="126" t="inlineStr">
        <is>
          <t>Subcategory</t>
        </is>
      </c>
      <c r="N5" s="126" t="inlineStr">
        <is>
          <t>Asset</t>
        </is>
      </c>
      <c r="O5" s="126" t="inlineStr">
        <is>
          <t>Quantity</t>
        </is>
      </c>
      <c r="P5" s="126" t="inlineStr">
        <is>
          <t>Price</t>
        </is>
      </c>
      <c r="Q5" s="126" t="inlineStr">
        <is>
          <t>Fee</t>
        </is>
      </c>
      <c r="R5" s="126" t="inlineStr">
        <is>
          <t>Realized P/L</t>
        </is>
      </c>
      <c r="S5" s="126" t="inlineStr">
        <is>
          <t>Tax Classification</t>
        </is>
      </c>
      <c r="T5" s="126" t="inlineStr">
        <is>
          <t>Note</t>
        </is>
      </c>
      <c r="U5" s="126" t="inlineStr">
        <is>
          <t>Source</t>
        </is>
      </c>
      <c r="V5" s="126" t="inlineStr">
        <is>
          <t>Status</t>
        </is>
      </c>
      <c r="W5" s="126" t="inlineStr">
        <is>
          <t>Dest Amount</t>
        </is>
      </c>
      <c r="X5" s="126" t="inlineStr">
        <is>
          <t>Dest Currency</t>
        </is>
      </c>
    </row>
    <row r="6">
      <c r="B6" s="153" t="inlineStr">
        <is>
          <t>TX-00001</t>
        </is>
      </c>
      <c r="C6" s="144" t="n">
        <v>45866</v>
      </c>
      <c r="D6" s="154" t="inlineStr">
        <is>
          <t>22:45:48</t>
        </is>
      </c>
      <c r="E6" s="137" t="inlineStr">
        <is>
          <t>Buy</t>
        </is>
      </c>
      <c r="F6" s="136" t="inlineStr">
        <is>
          <t>Dime Save THB</t>
        </is>
      </c>
      <c r="G6" s="136" t="inlineStr">
        <is>
          <t>Dime Gold</t>
        </is>
      </c>
      <c r="H6" s="130" t="n">
        <v>9999.719999999999</v>
      </c>
      <c r="I6" s="137" t="inlineStr">
        <is>
          <t>THB</t>
        </is>
      </c>
      <c r="J6" s="155" t="n">
        <v>1</v>
      </c>
      <c r="K6" s="128">
        <f>H6*J6</f>
        <v/>
      </c>
      <c r="L6" s="137" t="inlineStr">
        <is>
          <t>Investment</t>
        </is>
      </c>
      <c r="M6" s="136" t="inlineStr">
        <is>
          <t>Gold</t>
        </is>
      </c>
      <c r="N6" s="137" t="inlineStr">
        <is>
          <t>MTS-GOLD</t>
        </is>
      </c>
      <c r="O6" s="156" t="n">
        <v>0.0924</v>
      </c>
      <c r="P6" s="157" t="n">
        <v>3315.49</v>
      </c>
      <c r="Q6" s="146" t="n">
        <v>0</v>
      </c>
      <c r="R6" s="146" t="inlineStr"/>
      <c r="S6" s="142" t="inlineStr"/>
      <c r="T6" s="142" t="inlineStr"/>
      <c r="U6" s="142" t="inlineStr">
        <is>
          <t>Dime app IMG_7097-7102</t>
        </is>
      </c>
      <c r="V6" s="158" t="inlineStr">
        <is>
          <t>Confirmed</t>
        </is>
      </c>
      <c r="W6" s="146" t="n">
        <v>306.3513</v>
      </c>
      <c r="X6" s="137" t="inlineStr">
        <is>
          <t>USD</t>
        </is>
      </c>
    </row>
    <row r="7">
      <c r="B7" s="153" t="inlineStr">
        <is>
          <t>TX-00002</t>
        </is>
      </c>
      <c r="C7" s="144" t="n">
        <v>45868</v>
      </c>
      <c r="D7" s="154" t="inlineStr"/>
      <c r="E7" s="137" t="inlineStr">
        <is>
          <t>Buy</t>
        </is>
      </c>
      <c r="F7" s="136" t="inlineStr">
        <is>
          <t>Dime FCD USD</t>
        </is>
      </c>
      <c r="G7" s="136" t="inlineStr">
        <is>
          <t>Dime US Stocks</t>
        </is>
      </c>
      <c r="H7" s="159" t="n">
        <v>100</v>
      </c>
      <c r="I7" s="137" t="inlineStr">
        <is>
          <t>USD</t>
        </is>
      </c>
      <c r="J7" s="155">
        <f>IFERROR(LOOKUP(2,1/(tblFX[Date]&lt;=[@Date]),tblFX[Rate]),XLOOKUP("CURRENT_FX_USDTHB",tblSettings[Key],tblSettings[Value]))</f>
        <v/>
      </c>
      <c r="K7" s="128">
        <f>H7*J7</f>
        <v/>
      </c>
      <c r="L7" s="137" t="inlineStr">
        <is>
          <t>Investment</t>
        </is>
      </c>
      <c r="M7" s="136" t="inlineStr">
        <is>
          <t>US Stocks</t>
        </is>
      </c>
      <c r="N7" s="137" t="inlineStr">
        <is>
          <t>AAPL</t>
        </is>
      </c>
      <c r="O7" s="156" t="n">
        <v>0.474842827024255</v>
      </c>
      <c r="P7" s="157" t="n">
        <v>210.596</v>
      </c>
      <c r="Q7" s="146" t="n">
        <v>0</v>
      </c>
      <c r="R7" s="146" t="inlineStr"/>
      <c r="S7" s="142" t="inlineStr"/>
      <c r="T7" s="142" t="inlineStr">
        <is>
          <t>30 กรกฎาคม 2568 — ซื้อวันที่ 30 ก.ค. 68 เวลา 21:58:47 น.</t>
        </is>
      </c>
      <c r="U7" s="142" t="inlineStr">
        <is>
          <t>USA STOCK HIS 2</t>
        </is>
      </c>
      <c r="V7" s="158" t="inlineStr">
        <is>
          <t>Confirmed</t>
        </is>
      </c>
      <c r="W7" s="146" t="n">
        <v>100</v>
      </c>
      <c r="X7" s="137" t="inlineStr">
        <is>
          <t>USD</t>
        </is>
      </c>
    </row>
    <row r="8">
      <c r="B8" s="153" t="inlineStr">
        <is>
          <t>TX-00003</t>
        </is>
      </c>
      <c r="C8" s="144" t="n">
        <v>45871</v>
      </c>
      <c r="D8" s="154" t="inlineStr"/>
      <c r="E8" s="137" t="inlineStr">
        <is>
          <t>Buy</t>
        </is>
      </c>
      <c r="F8" s="136" t="inlineStr">
        <is>
          <t>Dime FCD USD</t>
        </is>
      </c>
      <c r="G8" s="136" t="inlineStr">
        <is>
          <t>Dime US Stocks</t>
        </is>
      </c>
      <c r="H8" s="159" t="n">
        <v>45</v>
      </c>
      <c r="I8" s="137" t="inlineStr">
        <is>
          <t>USD</t>
        </is>
      </c>
      <c r="J8" s="155">
        <f>IFERROR(LOOKUP(2,1/(tblFX[Date]&lt;=[@Date]),tblFX[Rate]),XLOOKUP("CURRENT_FX_USDTHB",tblSettings[Key],tblSettings[Value]))</f>
        <v/>
      </c>
      <c r="K8" s="128">
        <f>H8*J8</f>
        <v/>
      </c>
      <c r="L8" s="137" t="inlineStr">
        <is>
          <t>Investment</t>
        </is>
      </c>
      <c r="M8" s="136" t="inlineStr">
        <is>
          <t>US Stocks</t>
        </is>
      </c>
      <c r="N8" s="137" t="inlineStr">
        <is>
          <t>AMPX</t>
        </is>
      </c>
      <c r="O8" s="156" t="n">
        <v>7.042584158880699</v>
      </c>
      <c r="P8" s="157" t="n">
        <v>6.3897</v>
      </c>
      <c r="Q8" s="146" t="n">
        <v>0</v>
      </c>
      <c r="R8" s="146" t="inlineStr"/>
      <c r="S8" s="142" t="inlineStr"/>
      <c r="T8" s="142" t="inlineStr">
        <is>
          <t>2 สิงหาคม 2568 — ซื้อวันที่ 2 ส.ค. 68 เวลา 01:22-01:35 น.</t>
        </is>
      </c>
      <c r="U8" s="142" t="inlineStr">
        <is>
          <t>USA STOCK HIS 2</t>
        </is>
      </c>
      <c r="V8" s="158" t="inlineStr">
        <is>
          <t>Confirmed</t>
        </is>
      </c>
      <c r="W8" s="146" t="n">
        <v>45</v>
      </c>
      <c r="X8" s="137" t="inlineStr">
        <is>
          <t>USD</t>
        </is>
      </c>
    </row>
    <row r="9">
      <c r="B9" s="153" t="inlineStr">
        <is>
          <t>TX-00004</t>
        </is>
      </c>
      <c r="C9" s="144" t="n">
        <v>45871</v>
      </c>
      <c r="D9" s="154" t="inlineStr"/>
      <c r="E9" s="137" t="inlineStr">
        <is>
          <t>Buy</t>
        </is>
      </c>
      <c r="F9" s="136" t="inlineStr">
        <is>
          <t>Dime FCD USD</t>
        </is>
      </c>
      <c r="G9" s="136" t="inlineStr">
        <is>
          <t>Dime US Stocks</t>
        </is>
      </c>
      <c r="H9" s="159" t="n">
        <v>100</v>
      </c>
      <c r="I9" s="137" t="inlineStr">
        <is>
          <t>USD</t>
        </is>
      </c>
      <c r="J9" s="155">
        <f>IFERROR(LOOKUP(2,1/(tblFX[Date]&lt;=[@Date]),tblFX[Rate]),XLOOKUP("CURRENT_FX_USDTHB",tblSettings[Key],tblSettings[Value]))</f>
        <v/>
      </c>
      <c r="K9" s="128">
        <f>H9*J9</f>
        <v/>
      </c>
      <c r="L9" s="137" t="inlineStr">
        <is>
          <t>Investment</t>
        </is>
      </c>
      <c r="M9" s="136" t="inlineStr">
        <is>
          <t>US Stocks</t>
        </is>
      </c>
      <c r="N9" s="137" t="inlineStr">
        <is>
          <t>BEPC</t>
        </is>
      </c>
      <c r="O9" s="156" t="n">
        <v>2.943340691685063</v>
      </c>
      <c r="P9" s="157" t="n">
        <v>33.975</v>
      </c>
      <c r="Q9" s="146" t="n">
        <v>0</v>
      </c>
      <c r="R9" s="146" t="inlineStr"/>
      <c r="S9" s="142" t="inlineStr"/>
      <c r="T9" s="142" t="inlineStr">
        <is>
          <t>2 สิงหาคม 2568 — ซื้อวันที่ 2 ส.ค. 68 เวลา 01:22-01:35 น.</t>
        </is>
      </c>
      <c r="U9" s="142" t="inlineStr">
        <is>
          <t>USA STOCK HIS 2</t>
        </is>
      </c>
      <c r="V9" s="158" t="inlineStr">
        <is>
          <t>Confirmed</t>
        </is>
      </c>
      <c r="W9" s="146" t="n">
        <v>100</v>
      </c>
      <c r="X9" s="137" t="inlineStr">
        <is>
          <t>USD</t>
        </is>
      </c>
    </row>
    <row r="10">
      <c r="B10" s="153" t="inlineStr">
        <is>
          <t>TX-00005</t>
        </is>
      </c>
      <c r="C10" s="144" t="n">
        <v>45871</v>
      </c>
      <c r="D10" s="154" t="inlineStr">
        <is>
          <t>09:47:50</t>
        </is>
      </c>
      <c r="E10" s="137" t="inlineStr">
        <is>
          <t>Transfer</t>
        </is>
      </c>
      <c r="F10" s="136" t="inlineStr">
        <is>
          <t>Dime Save THB</t>
        </is>
      </c>
      <c r="G10" s="136" t="inlineStr">
        <is>
          <t>Dime FCD USD</t>
        </is>
      </c>
      <c r="H10" s="130" t="n">
        <v>4042.5</v>
      </c>
      <c r="I10" s="137" t="inlineStr">
        <is>
          <t>THB</t>
        </is>
      </c>
      <c r="J10" s="155" t="n">
        <v>1</v>
      </c>
      <c r="K10" s="128">
        <f>H10*J10</f>
        <v/>
      </c>
      <c r="L10" s="137" t="inlineStr">
        <is>
          <t>Transfer</t>
        </is>
      </c>
      <c r="M10" s="136" t="inlineStr">
        <is>
          <t>FX Conversion</t>
        </is>
      </c>
      <c r="N10" s="137" t="inlineStr"/>
      <c r="O10" s="156" t="inlineStr"/>
      <c r="P10" s="157" t="inlineStr"/>
      <c r="Q10" s="146" t="n">
        <v>0</v>
      </c>
      <c r="R10" s="146" t="inlineStr"/>
      <c r="S10" s="142" t="inlineStr"/>
      <c r="T10" s="142" t="inlineStr">
        <is>
          <t>แลก ฿4,042.50 -&gt; $125.00 @ 32.3400</t>
        </is>
      </c>
      <c r="U10" s="142" t="inlineStr">
        <is>
          <t>DIME EX</t>
        </is>
      </c>
      <c r="V10" s="158" t="inlineStr">
        <is>
          <t>Confirmed</t>
        </is>
      </c>
      <c r="W10" s="146" t="n">
        <v>125</v>
      </c>
      <c r="X10" s="137" t="inlineStr">
        <is>
          <t>USD</t>
        </is>
      </c>
    </row>
    <row r="11">
      <c r="B11" s="153" t="inlineStr">
        <is>
          <t>TX-00006</t>
        </is>
      </c>
      <c r="C11" s="144" t="n">
        <v>45875</v>
      </c>
      <c r="D11" s="154" t="inlineStr"/>
      <c r="E11" s="137" t="inlineStr">
        <is>
          <t>Sell</t>
        </is>
      </c>
      <c r="F11" s="136" t="inlineStr">
        <is>
          <t>Dime US Stocks</t>
        </is>
      </c>
      <c r="G11" s="136" t="inlineStr">
        <is>
          <t>Dime FCD USD</t>
        </is>
      </c>
      <c r="H11" s="159" t="n">
        <v>55.0794</v>
      </c>
      <c r="I11" s="137" t="inlineStr">
        <is>
          <t>USD</t>
        </is>
      </c>
      <c r="J11" s="155">
        <f>IFERROR(LOOKUP(2,1/(tblFX[Date]&lt;=[@Date]),tblFX[Rate]),XLOOKUP("CURRENT_FX_USDTHB",tblSettings[Key],tblSettings[Value]))</f>
        <v/>
      </c>
      <c r="K11" s="128">
        <f>H11*J11</f>
        <v/>
      </c>
      <c r="L11" s="137" t="inlineStr">
        <is>
          <t>Investment</t>
        </is>
      </c>
      <c r="M11" s="136" t="inlineStr">
        <is>
          <t>US Stocks</t>
        </is>
      </c>
      <c r="N11" s="137" t="inlineStr">
        <is>
          <t>AMPX</t>
        </is>
      </c>
      <c r="O11" s="156" t="n">
        <v>7.03135</v>
      </c>
      <c r="P11" s="157" t="n">
        <v>7.8334</v>
      </c>
      <c r="Q11" s="146" t="n">
        <v>0</v>
      </c>
      <c r="R11" s="146" t="n">
        <v>10.1512</v>
      </c>
      <c r="S11" s="142" t="inlineStr">
        <is>
          <t>Foreign Capital Gain</t>
        </is>
      </c>
      <c r="T11" s="142" t="inlineStr">
        <is>
          <t>ขายทั้งจำนวน avg cost $6.3897</t>
        </is>
      </c>
      <c r="U11" s="142" t="inlineStr">
        <is>
          <t>USA STOCK HIS 2</t>
        </is>
      </c>
      <c r="V11" s="158" t="inlineStr">
        <is>
          <t>Confirmed</t>
        </is>
      </c>
      <c r="W11" s="146" t="n">
        <v>55.0794</v>
      </c>
      <c r="X11" s="137" t="inlineStr">
        <is>
          <t>USD</t>
        </is>
      </c>
    </row>
    <row r="12">
      <c r="B12" s="153" t="inlineStr">
        <is>
          <t>TX-00007</t>
        </is>
      </c>
      <c r="C12" s="144" t="n">
        <v>45875</v>
      </c>
      <c r="D12" s="154" t="inlineStr">
        <is>
          <t>02:06:00</t>
        </is>
      </c>
      <c r="E12" s="137" t="inlineStr">
        <is>
          <t>Transfer</t>
        </is>
      </c>
      <c r="F12" s="136" t="inlineStr">
        <is>
          <t>Dime Save THB</t>
        </is>
      </c>
      <c r="G12" s="136" t="inlineStr">
        <is>
          <t>Dime FCD USD</t>
        </is>
      </c>
      <c r="H12" s="130" t="n">
        <v>25000</v>
      </c>
      <c r="I12" s="137" t="inlineStr">
        <is>
          <t>THB</t>
        </is>
      </c>
      <c r="J12" s="155" t="n">
        <v>1</v>
      </c>
      <c r="K12" s="128">
        <f>H12*J12</f>
        <v/>
      </c>
      <c r="L12" s="137" t="inlineStr">
        <is>
          <t>Transfer</t>
        </is>
      </c>
      <c r="M12" s="136" t="inlineStr">
        <is>
          <t>FX Conversion</t>
        </is>
      </c>
      <c r="N12" s="137" t="inlineStr"/>
      <c r="O12" s="156" t="inlineStr"/>
      <c r="P12" s="157" t="inlineStr"/>
      <c r="Q12" s="146" t="n">
        <v>0</v>
      </c>
      <c r="R12" s="146" t="inlineStr"/>
      <c r="S12" s="142" t="inlineStr"/>
      <c r="T12" s="142" t="inlineStr">
        <is>
          <t>แลก ฿25,000.00 -&gt; $776.88 @ 32.1800</t>
        </is>
      </c>
      <c r="U12" s="142" t="inlineStr">
        <is>
          <t>DIME EX</t>
        </is>
      </c>
      <c r="V12" s="158" t="inlineStr">
        <is>
          <t>Confirmed</t>
        </is>
      </c>
      <c r="W12" s="146" t="n">
        <v>776.88</v>
      </c>
      <c r="X12" s="137" t="inlineStr">
        <is>
          <t>USD</t>
        </is>
      </c>
    </row>
    <row r="13">
      <c r="B13" s="153" t="inlineStr">
        <is>
          <t>TX-00008</t>
        </is>
      </c>
      <c r="C13" s="144" t="n">
        <v>45876</v>
      </c>
      <c r="D13" s="154" t="inlineStr"/>
      <c r="E13" s="137" t="inlineStr">
        <is>
          <t>Buy</t>
        </is>
      </c>
      <c r="F13" s="136" t="inlineStr">
        <is>
          <t>Dime FCD USD</t>
        </is>
      </c>
      <c r="G13" s="136" t="inlineStr">
        <is>
          <t>Dime US Stocks</t>
        </is>
      </c>
      <c r="H13" s="159" t="n">
        <v>38.941</v>
      </c>
      <c r="I13" s="137" t="inlineStr">
        <is>
          <t>USD</t>
        </is>
      </c>
      <c r="J13" s="155">
        <f>IFERROR(LOOKUP(2,1/(tblFX[Date]&lt;=[@Date]),tblFX[Rate]),XLOOKUP("CURRENT_FX_USDTHB",tblSettings[Key],tblSettings[Value]))</f>
        <v/>
      </c>
      <c r="K13" s="128">
        <f>H13*J13</f>
        <v/>
      </c>
      <c r="L13" s="137" t="inlineStr">
        <is>
          <t>Investment</t>
        </is>
      </c>
      <c r="M13" s="136" t="inlineStr">
        <is>
          <t>US Stocks</t>
        </is>
      </c>
      <c r="N13" s="137" t="inlineStr">
        <is>
          <t>AMPX</t>
        </is>
      </c>
      <c r="O13" s="156" t="n">
        <v>5.000000000000001</v>
      </c>
      <c r="P13" s="157" t="n">
        <v>7.7882</v>
      </c>
      <c r="Q13" s="146" t="n">
        <v>0</v>
      </c>
      <c r="R13" s="146" t="inlineStr"/>
      <c r="S13" s="142" t="inlineStr"/>
      <c r="T13" s="142" t="inlineStr">
        <is>
          <t>7 สิงหาคม 2568 (แก้ไข) — ซื้อ 5 หุ้น (ยู่นยืนโดยผู้ใช้ 14 ก.ย. 69) ซื้อวันที่ 7 ส.ค. 68 เวลา 21:28-23:01 น.</t>
        </is>
      </c>
      <c r="U13" s="142" t="inlineStr">
        <is>
          <t>USA STOCK HIS 2</t>
        </is>
      </c>
      <c r="V13" s="158" t="inlineStr">
        <is>
          <t>Confirmed</t>
        </is>
      </c>
      <c r="W13" s="146" t="n">
        <v>38.941</v>
      </c>
      <c r="X13" s="137" t="inlineStr">
        <is>
          <t>USD</t>
        </is>
      </c>
    </row>
    <row r="14">
      <c r="B14" s="153" t="inlineStr">
        <is>
          <t>TX-00009</t>
        </is>
      </c>
      <c r="C14" s="144" t="n">
        <v>45876</v>
      </c>
      <c r="D14" s="154" t="inlineStr"/>
      <c r="E14" s="137" t="inlineStr">
        <is>
          <t>Buy</t>
        </is>
      </c>
      <c r="F14" s="136" t="inlineStr">
        <is>
          <t>Dime FCD USD</t>
        </is>
      </c>
      <c r="G14" s="136" t="inlineStr">
        <is>
          <t>Dime US Stocks</t>
        </is>
      </c>
      <c r="H14" s="159" t="n">
        <v>140</v>
      </c>
      <c r="I14" s="137" t="inlineStr">
        <is>
          <t>USD</t>
        </is>
      </c>
      <c r="J14" s="155">
        <f>IFERROR(LOOKUP(2,1/(tblFX[Date]&lt;=[@Date]),tblFX[Rate]),XLOOKUP("CURRENT_FX_USDTHB",tblSettings[Key],tblSettings[Value]))</f>
        <v/>
      </c>
      <c r="K14" s="128">
        <f>H14*J14</f>
        <v/>
      </c>
      <c r="L14" s="137" t="inlineStr">
        <is>
          <t>Investment</t>
        </is>
      </c>
      <c r="M14" s="136" t="inlineStr">
        <is>
          <t>US Stocks</t>
        </is>
      </c>
      <c r="N14" s="137" t="inlineStr">
        <is>
          <t>LLY</t>
        </is>
      </c>
      <c r="O14" s="156" t="n">
        <v>0.2201964152023605</v>
      </c>
      <c r="P14" s="157" t="n">
        <v>635.796</v>
      </c>
      <c r="Q14" s="146" t="n">
        <v>0</v>
      </c>
      <c r="R14" s="146" t="inlineStr"/>
      <c r="S14" s="142" t="inlineStr"/>
      <c r="T14" s="142" t="inlineStr">
        <is>
          <t>7 สิงหาคม 2568 — ซื้อวันที่ 7 ส.ค. 68 เวลา 21:28-23:01 น.</t>
        </is>
      </c>
      <c r="U14" s="142" t="inlineStr">
        <is>
          <t>USA STOCK HIS 2</t>
        </is>
      </c>
      <c r="V14" s="158" t="inlineStr">
        <is>
          <t>Confirmed</t>
        </is>
      </c>
      <c r="W14" s="146" t="n">
        <v>140</v>
      </c>
      <c r="X14" s="137" t="inlineStr">
        <is>
          <t>USD</t>
        </is>
      </c>
    </row>
    <row r="15">
      <c r="B15" s="153" t="inlineStr">
        <is>
          <t>TX-00010</t>
        </is>
      </c>
      <c r="C15" s="144" t="n">
        <v>45877</v>
      </c>
      <c r="D15" s="154" t="inlineStr">
        <is>
          <t>13:26:15</t>
        </is>
      </c>
      <c r="E15" s="137" t="inlineStr">
        <is>
          <t>Sell</t>
        </is>
      </c>
      <c r="F15" s="136" t="inlineStr">
        <is>
          <t>Dime Gold</t>
        </is>
      </c>
      <c r="G15" s="136" t="inlineStr">
        <is>
          <t>Dime FCD USD</t>
        </is>
      </c>
      <c r="H15" s="159" t="n">
        <v>313.58</v>
      </c>
      <c r="I15" s="137" t="inlineStr">
        <is>
          <t>USD</t>
        </is>
      </c>
      <c r="J15" s="155">
        <f>IFERROR(LOOKUP(2,1/(tblFX[Date]&lt;=[@Date]),tblFX[Rate]),XLOOKUP("CURRENT_FX_USDTHB",tblSettings[Key],tblSettings[Value]))</f>
        <v/>
      </c>
      <c r="K15" s="128">
        <f>H15*J15</f>
        <v/>
      </c>
      <c r="L15" s="137" t="inlineStr">
        <is>
          <t>Investment</t>
        </is>
      </c>
      <c r="M15" s="136" t="inlineStr">
        <is>
          <t>Gold</t>
        </is>
      </c>
      <c r="N15" s="137" t="inlineStr">
        <is>
          <t>MTS-GOLD</t>
        </is>
      </c>
      <c r="O15" s="156" t="n">
        <v>0.0924</v>
      </c>
      <c r="P15" s="157" t="n">
        <v>3393.67</v>
      </c>
      <c r="Q15" s="146" t="n">
        <v>0</v>
      </c>
      <c r="R15" s="146" t="n">
        <v>7.2238</v>
      </c>
      <c r="S15" s="142" t="inlineStr">
        <is>
          <t>Foreign Capital Gain</t>
        </is>
      </c>
      <c r="T15" s="142" t="inlineStr"/>
      <c r="U15" s="142" t="inlineStr">
        <is>
          <t>Dime app IMG_7097-7102</t>
        </is>
      </c>
      <c r="V15" s="158" t="inlineStr">
        <is>
          <t>Confirmed</t>
        </is>
      </c>
      <c r="W15" s="146" t="n">
        <v>313.58</v>
      </c>
      <c r="X15" s="137" t="inlineStr">
        <is>
          <t>USD</t>
        </is>
      </c>
    </row>
    <row r="16">
      <c r="B16" s="153" t="inlineStr">
        <is>
          <t>TX-00011</t>
        </is>
      </c>
      <c r="C16" s="144" t="n">
        <v>45878</v>
      </c>
      <c r="D16" s="154" t="inlineStr">
        <is>
          <t>14:00:28</t>
        </is>
      </c>
      <c r="E16" s="137" t="inlineStr">
        <is>
          <t>Transfer</t>
        </is>
      </c>
      <c r="F16" s="136" t="inlineStr">
        <is>
          <t>Dime Save THB</t>
        </is>
      </c>
      <c r="G16" s="136" t="inlineStr">
        <is>
          <t>Dime FCD USD</t>
        </is>
      </c>
      <c r="H16" s="130" t="n">
        <v>9360.200000000001</v>
      </c>
      <c r="I16" s="137" t="inlineStr">
        <is>
          <t>THB</t>
        </is>
      </c>
      <c r="J16" s="155" t="n">
        <v>1</v>
      </c>
      <c r="K16" s="128">
        <f>H16*J16</f>
        <v/>
      </c>
      <c r="L16" s="137" t="inlineStr">
        <is>
          <t>Transfer</t>
        </is>
      </c>
      <c r="M16" s="136" t="inlineStr">
        <is>
          <t>FX Conversion</t>
        </is>
      </c>
      <c r="N16" s="137" t="inlineStr"/>
      <c r="O16" s="156" t="inlineStr"/>
      <c r="P16" s="157" t="inlineStr"/>
      <c r="Q16" s="146" t="n">
        <v>0</v>
      </c>
      <c r="R16" s="146" t="inlineStr"/>
      <c r="S16" s="142" t="inlineStr"/>
      <c r="T16" s="142" t="inlineStr">
        <is>
          <t>แลก ฿9,360.20 -&gt; $288.45 @ 32.4500</t>
        </is>
      </c>
      <c r="U16" s="142" t="inlineStr">
        <is>
          <t>DIME EX</t>
        </is>
      </c>
      <c r="V16" s="158" t="inlineStr">
        <is>
          <t>Confirmed</t>
        </is>
      </c>
      <c r="W16" s="146" t="n">
        <v>288.45</v>
      </c>
      <c r="X16" s="137" t="inlineStr">
        <is>
          <t>USD</t>
        </is>
      </c>
    </row>
    <row r="17">
      <c r="B17" s="153" t="inlineStr">
        <is>
          <t>TX-00012</t>
        </is>
      </c>
      <c r="C17" s="144" t="n">
        <v>45880</v>
      </c>
      <c r="D17" s="154" t="inlineStr">
        <is>
          <t>22:31:01</t>
        </is>
      </c>
      <c r="E17" s="137" t="inlineStr">
        <is>
          <t>Buy</t>
        </is>
      </c>
      <c r="F17" s="136" t="inlineStr">
        <is>
          <t>Dime FCD USD</t>
        </is>
      </c>
      <c r="G17" s="136" t="inlineStr">
        <is>
          <t>Dime Gold</t>
        </is>
      </c>
      <c r="H17" s="159" t="n">
        <v>49.93</v>
      </c>
      <c r="I17" s="137" t="inlineStr">
        <is>
          <t>USD</t>
        </is>
      </c>
      <c r="J17" s="155">
        <f>IFERROR(LOOKUP(2,1/(tblFX[Date]&lt;=[@Date]),tblFX[Rate]),XLOOKUP("CURRENT_FX_USDTHB",tblSettings[Key],tblSettings[Value]))</f>
        <v/>
      </c>
      <c r="K17" s="128">
        <f>H17*J17</f>
        <v/>
      </c>
      <c r="L17" s="137" t="inlineStr">
        <is>
          <t>Investment</t>
        </is>
      </c>
      <c r="M17" s="136" t="inlineStr">
        <is>
          <t>Gold</t>
        </is>
      </c>
      <c r="N17" s="137" t="inlineStr">
        <is>
          <t>MTS-GOLD</t>
        </is>
      </c>
      <c r="O17" s="156" t="n">
        <v>0.0149</v>
      </c>
      <c r="P17" s="157" t="n">
        <v>3351.1</v>
      </c>
      <c r="Q17" s="146" t="n">
        <v>0</v>
      </c>
      <c r="R17" s="146" t="inlineStr"/>
      <c r="S17" s="142" t="inlineStr"/>
      <c r="T17" s="142" t="inlineStr"/>
      <c r="U17" s="142" t="inlineStr">
        <is>
          <t>Dime app IMG_7097-7102</t>
        </is>
      </c>
      <c r="V17" s="158" t="inlineStr">
        <is>
          <t>Confirmed</t>
        </is>
      </c>
      <c r="W17" s="146" t="n">
        <v>49.93</v>
      </c>
      <c r="X17" s="137" t="inlineStr">
        <is>
          <t>USD</t>
        </is>
      </c>
    </row>
    <row r="18">
      <c r="B18" s="153" t="inlineStr">
        <is>
          <t>TX-00013</t>
        </is>
      </c>
      <c r="C18" s="144" t="n">
        <v>45881</v>
      </c>
      <c r="D18" s="154" t="inlineStr">
        <is>
          <t>19:12:46</t>
        </is>
      </c>
      <c r="E18" s="137" t="inlineStr">
        <is>
          <t>Buy</t>
        </is>
      </c>
      <c r="F18" s="136" t="inlineStr">
        <is>
          <t>Dime FCD USD</t>
        </is>
      </c>
      <c r="G18" s="136" t="inlineStr">
        <is>
          <t>Dime Gold</t>
        </is>
      </c>
      <c r="H18" s="159" t="n">
        <v>49.84</v>
      </c>
      <c r="I18" s="137" t="inlineStr">
        <is>
          <t>USD</t>
        </is>
      </c>
      <c r="J18" s="155">
        <f>IFERROR(LOOKUP(2,1/(tblFX[Date]&lt;=[@Date]),tblFX[Rate]),XLOOKUP("CURRENT_FX_USDTHB",tblSettings[Key],tblSettings[Value]))</f>
        <v/>
      </c>
      <c r="K18" s="128">
        <f>H18*J18</f>
        <v/>
      </c>
      <c r="L18" s="137" t="inlineStr">
        <is>
          <t>Investment</t>
        </is>
      </c>
      <c r="M18" s="136" t="inlineStr">
        <is>
          <t>Gold</t>
        </is>
      </c>
      <c r="N18" s="137" t="inlineStr">
        <is>
          <t>MTS-GOLD</t>
        </is>
      </c>
      <c r="O18" s="156" t="n">
        <v>0.0149</v>
      </c>
      <c r="P18" s="157" t="n">
        <v>3345.16</v>
      </c>
      <c r="Q18" s="146" t="n">
        <v>0</v>
      </c>
      <c r="R18" s="146" t="inlineStr"/>
      <c r="S18" s="142" t="inlineStr"/>
      <c r="T18" s="142" t="inlineStr"/>
      <c r="U18" s="142" t="inlineStr">
        <is>
          <t>Dime app IMG_7097-7102</t>
        </is>
      </c>
      <c r="V18" s="158" t="inlineStr">
        <is>
          <t>Confirmed</t>
        </is>
      </c>
      <c r="W18" s="146" t="n">
        <v>49.84</v>
      </c>
      <c r="X18" s="137" t="inlineStr">
        <is>
          <t>USD</t>
        </is>
      </c>
    </row>
    <row r="19">
      <c r="B19" s="153" t="inlineStr">
        <is>
          <t>TX-00014</t>
        </is>
      </c>
      <c r="C19" s="144" t="n">
        <v>45884</v>
      </c>
      <c r="D19" s="154" t="inlineStr"/>
      <c r="E19" s="137" t="inlineStr">
        <is>
          <t>Buy</t>
        </is>
      </c>
      <c r="F19" s="136" t="inlineStr">
        <is>
          <t>Dime FCD USD</t>
        </is>
      </c>
      <c r="G19" s="136" t="inlineStr">
        <is>
          <t>Dime US Stocks</t>
        </is>
      </c>
      <c r="H19" s="159" t="n">
        <v>60</v>
      </c>
      <c r="I19" s="137" t="inlineStr">
        <is>
          <t>USD</t>
        </is>
      </c>
      <c r="J19" s="155">
        <f>IFERROR(LOOKUP(2,1/(tblFX[Date]&lt;=[@Date]),tblFX[Rate]),XLOOKUP("CURRENT_FX_USDTHB",tblSettings[Key],tblSettings[Value]))</f>
        <v/>
      </c>
      <c r="K19" s="128">
        <f>H19*J19</f>
        <v/>
      </c>
      <c r="L19" s="137" t="inlineStr">
        <is>
          <t>Investment</t>
        </is>
      </c>
      <c r="M19" s="136" t="inlineStr">
        <is>
          <t>US Stocks</t>
        </is>
      </c>
      <c r="N19" s="137" t="inlineStr">
        <is>
          <t>LLY</t>
        </is>
      </c>
      <c r="O19" s="156" t="n">
        <v>0.09443227317367985</v>
      </c>
      <c r="P19" s="157" t="n">
        <v>635.376</v>
      </c>
      <c r="Q19" s="146" t="n">
        <v>0</v>
      </c>
      <c r="R19" s="146" t="inlineStr"/>
      <c r="S19" s="142" t="inlineStr"/>
      <c r="T19" s="142" t="inlineStr">
        <is>
          <t>15-16 สิงหาคม 2568 — ซื้อวันที่ 15-16 ส.ค. 68</t>
        </is>
      </c>
      <c r="U19" s="142" t="inlineStr">
        <is>
          <t>USA STOCK HIS 2</t>
        </is>
      </c>
      <c r="V19" s="158" t="inlineStr">
        <is>
          <t>Confirmed</t>
        </is>
      </c>
      <c r="W19" s="146" t="n">
        <v>60</v>
      </c>
      <c r="X19" s="137" t="inlineStr">
        <is>
          <t>USD</t>
        </is>
      </c>
    </row>
    <row r="20">
      <c r="B20" s="153" t="inlineStr">
        <is>
          <t>TX-00015</t>
        </is>
      </c>
      <c r="C20" s="144" t="n">
        <v>45884</v>
      </c>
      <c r="D20" s="154" t="inlineStr"/>
      <c r="E20" s="137" t="inlineStr">
        <is>
          <t>Buy</t>
        </is>
      </c>
      <c r="F20" s="136" t="inlineStr">
        <is>
          <t>Dime FCD USD</t>
        </is>
      </c>
      <c r="G20" s="136" t="inlineStr">
        <is>
          <t>Dime US Stocks</t>
        </is>
      </c>
      <c r="H20" s="159" t="n">
        <v>100</v>
      </c>
      <c r="I20" s="137" t="inlineStr">
        <is>
          <t>USD</t>
        </is>
      </c>
      <c r="J20" s="155">
        <f>IFERROR(LOOKUP(2,1/(tblFX[Date]&lt;=[@Date]),tblFX[Rate]),XLOOKUP("CURRENT_FX_USDTHB",tblSettings[Key],tblSettings[Value]))</f>
        <v/>
      </c>
      <c r="K20" s="128">
        <f>H20*J20</f>
        <v/>
      </c>
      <c r="L20" s="137" t="inlineStr">
        <is>
          <t>Investment</t>
        </is>
      </c>
      <c r="M20" s="136" t="inlineStr">
        <is>
          <t>US Stocks</t>
        </is>
      </c>
      <c r="N20" s="137" t="inlineStr">
        <is>
          <t>UNH</t>
        </is>
      </c>
      <c r="O20" s="156" t="n">
        <v>0.322815988430275</v>
      </c>
      <c r="P20" s="157" t="n">
        <v>309.774</v>
      </c>
      <c r="Q20" s="146" t="n">
        <v>0</v>
      </c>
      <c r="R20" s="146" t="inlineStr"/>
      <c r="S20" s="142" t="inlineStr"/>
      <c r="T20" s="142" t="inlineStr">
        <is>
          <t>15-16 สิงหาคม 2568 — ซื้อวันที่ 15-16 ส.ค. 68</t>
        </is>
      </c>
      <c r="U20" s="142" t="inlineStr">
        <is>
          <t>USA STOCK HIS 2</t>
        </is>
      </c>
      <c r="V20" s="158" t="inlineStr">
        <is>
          <t>Confirmed</t>
        </is>
      </c>
      <c r="W20" s="146" t="n">
        <v>100</v>
      </c>
      <c r="X20" s="137" t="inlineStr">
        <is>
          <t>USD</t>
        </is>
      </c>
    </row>
    <row r="21">
      <c r="B21" s="153" t="inlineStr">
        <is>
          <t>TX-00016</t>
        </is>
      </c>
      <c r="C21" s="144" t="n">
        <v>45887</v>
      </c>
      <c r="D21" s="154" t="inlineStr">
        <is>
          <t>09:38:52</t>
        </is>
      </c>
      <c r="E21" s="137" t="inlineStr">
        <is>
          <t>Buy</t>
        </is>
      </c>
      <c r="F21" s="136" t="inlineStr">
        <is>
          <t>Dime FCD USD</t>
        </is>
      </c>
      <c r="G21" s="136" t="inlineStr">
        <is>
          <t>Dime Gold</t>
        </is>
      </c>
      <c r="H21" s="159" t="n">
        <v>49.83</v>
      </c>
      <c r="I21" s="137" t="inlineStr">
        <is>
          <t>USD</t>
        </is>
      </c>
      <c r="J21" s="155">
        <f>IFERROR(LOOKUP(2,1/(tblFX[Date]&lt;=[@Date]),tblFX[Rate]),XLOOKUP("CURRENT_FX_USDTHB",tblSettings[Key],tblSettings[Value]))</f>
        <v/>
      </c>
      <c r="K21" s="128">
        <f>H21*J21</f>
        <v/>
      </c>
      <c r="L21" s="137" t="inlineStr">
        <is>
          <t>Investment</t>
        </is>
      </c>
      <c r="M21" s="136" t="inlineStr">
        <is>
          <t>Gold</t>
        </is>
      </c>
      <c r="N21" s="137" t="inlineStr">
        <is>
          <t>MTS-GOLD</t>
        </is>
      </c>
      <c r="O21" s="156" t="n">
        <v>0.0149</v>
      </c>
      <c r="P21" s="157" t="n">
        <v>3344.54</v>
      </c>
      <c r="Q21" s="146" t="n">
        <v>0</v>
      </c>
      <c r="R21" s="146" t="inlineStr"/>
      <c r="S21" s="142" t="inlineStr"/>
      <c r="T21" s="142" t="inlineStr"/>
      <c r="U21" s="142" t="inlineStr">
        <is>
          <t>Dime app IMG_7097-7102</t>
        </is>
      </c>
      <c r="V21" s="158" t="inlineStr">
        <is>
          <t>Confirmed</t>
        </is>
      </c>
      <c r="W21" s="146" t="n">
        <v>49.83</v>
      </c>
      <c r="X21" s="137" t="inlineStr">
        <is>
          <t>USD</t>
        </is>
      </c>
    </row>
    <row r="22">
      <c r="B22" s="153" t="inlineStr">
        <is>
          <t>TX-00017</t>
        </is>
      </c>
      <c r="C22" s="144" t="n">
        <v>45897</v>
      </c>
      <c r="D22" s="154" t="inlineStr">
        <is>
          <t>18:39:37</t>
        </is>
      </c>
      <c r="E22" s="137" t="inlineStr">
        <is>
          <t>Sell</t>
        </is>
      </c>
      <c r="F22" s="136" t="inlineStr">
        <is>
          <t>Dime Gold</t>
        </is>
      </c>
      <c r="G22" s="136" t="inlineStr">
        <is>
          <t>Dime FCD USD</t>
        </is>
      </c>
      <c r="H22" s="159" t="n">
        <v>152.27</v>
      </c>
      <c r="I22" s="137" t="inlineStr">
        <is>
          <t>USD</t>
        </is>
      </c>
      <c r="J22" s="155">
        <f>IFERROR(LOOKUP(2,1/(tblFX[Date]&lt;=[@Date]),tblFX[Rate]),XLOOKUP("CURRENT_FX_USDTHB",tblSettings[Key],tblSettings[Value]))</f>
        <v/>
      </c>
      <c r="K22" s="128">
        <f>H22*J22</f>
        <v/>
      </c>
      <c r="L22" s="137" t="inlineStr">
        <is>
          <t>Investment</t>
        </is>
      </c>
      <c r="M22" s="136" t="inlineStr">
        <is>
          <t>Gold</t>
        </is>
      </c>
      <c r="N22" s="137" t="inlineStr">
        <is>
          <t>MTS-GOLD</t>
        </is>
      </c>
      <c r="O22" s="156" t="n">
        <v>0.0447</v>
      </c>
      <c r="P22" s="157" t="n">
        <v>3406.51</v>
      </c>
      <c r="Q22" s="146" t="n">
        <v>0</v>
      </c>
      <c r="R22" s="146" t="n">
        <v>2.6631</v>
      </c>
      <c r="S22" s="142" t="inlineStr">
        <is>
          <t>Foreign Capital Gain</t>
        </is>
      </c>
      <c r="T22" s="142" t="inlineStr"/>
      <c r="U22" s="142" t="inlineStr">
        <is>
          <t>Dime app IMG_7097-7102</t>
        </is>
      </c>
      <c r="V22" s="158" t="inlineStr">
        <is>
          <t>Confirmed</t>
        </is>
      </c>
      <c r="W22" s="146" t="n">
        <v>152.27</v>
      </c>
      <c r="X22" s="137" t="inlineStr">
        <is>
          <t>USD</t>
        </is>
      </c>
    </row>
    <row r="23">
      <c r="B23" s="153" t="inlineStr">
        <is>
          <t>TX-00018</t>
        </is>
      </c>
      <c r="C23" s="144" t="n">
        <v>45898</v>
      </c>
      <c r="D23" s="154" t="inlineStr">
        <is>
          <t>21:39:13</t>
        </is>
      </c>
      <c r="E23" s="137" t="inlineStr">
        <is>
          <t>Transfer</t>
        </is>
      </c>
      <c r="F23" s="136" t="inlineStr">
        <is>
          <t>Dime Save THB</t>
        </is>
      </c>
      <c r="G23" s="136" t="inlineStr">
        <is>
          <t>Dime FCD USD</t>
        </is>
      </c>
      <c r="H23" s="130" t="n">
        <v>3999.74</v>
      </c>
      <c r="I23" s="137" t="inlineStr">
        <is>
          <t>THB</t>
        </is>
      </c>
      <c r="J23" s="155" t="n">
        <v>1</v>
      </c>
      <c r="K23" s="128">
        <f>H23*J23</f>
        <v/>
      </c>
      <c r="L23" s="137" t="inlineStr">
        <is>
          <t>Transfer</t>
        </is>
      </c>
      <c r="M23" s="136" t="inlineStr">
        <is>
          <t>FX Conversion</t>
        </is>
      </c>
      <c r="N23" s="137" t="inlineStr"/>
      <c r="O23" s="156" t="inlineStr"/>
      <c r="P23" s="157" t="inlineStr"/>
      <c r="Q23" s="146" t="n">
        <v>0</v>
      </c>
      <c r="R23" s="146" t="inlineStr"/>
      <c r="S23" s="142" t="inlineStr"/>
      <c r="T23" s="142" t="inlineStr">
        <is>
          <t>แลก ฿3,999.74 -&gt; $124.37 @ 32.1600</t>
        </is>
      </c>
      <c r="U23" s="142" t="inlineStr">
        <is>
          <t>DIME EX</t>
        </is>
      </c>
      <c r="V23" s="158" t="inlineStr">
        <is>
          <t>Confirmed</t>
        </is>
      </c>
      <c r="W23" s="146" t="n">
        <v>124.37</v>
      </c>
      <c r="X23" s="137" t="inlineStr">
        <is>
          <t>USD</t>
        </is>
      </c>
    </row>
    <row r="24">
      <c r="B24" s="153" t="inlineStr">
        <is>
          <t>TX-00019</t>
        </is>
      </c>
      <c r="C24" s="144" t="n">
        <v>45898</v>
      </c>
      <c r="D24" s="154" t="inlineStr">
        <is>
          <t>21:41:04</t>
        </is>
      </c>
      <c r="E24" s="137" t="inlineStr">
        <is>
          <t>Transfer</t>
        </is>
      </c>
      <c r="F24" s="136" t="inlineStr">
        <is>
          <t>Dime Save THB</t>
        </is>
      </c>
      <c r="G24" s="136" t="inlineStr">
        <is>
          <t>Dime FCD USD</t>
        </is>
      </c>
      <c r="H24" s="130" t="n">
        <v>7999.74</v>
      </c>
      <c r="I24" s="137" t="inlineStr">
        <is>
          <t>THB</t>
        </is>
      </c>
      <c r="J24" s="155" t="n">
        <v>1</v>
      </c>
      <c r="K24" s="128">
        <f>H24*J24</f>
        <v/>
      </c>
      <c r="L24" s="137" t="inlineStr">
        <is>
          <t>Transfer</t>
        </is>
      </c>
      <c r="M24" s="136" t="inlineStr">
        <is>
          <t>FX Conversion</t>
        </is>
      </c>
      <c r="N24" s="137" t="inlineStr"/>
      <c r="O24" s="156" t="inlineStr"/>
      <c r="P24" s="157" t="inlineStr"/>
      <c r="Q24" s="146" t="n">
        <v>0</v>
      </c>
      <c r="R24" s="146" t="inlineStr"/>
      <c r="S24" s="142" t="inlineStr"/>
      <c r="T24" s="142" t="inlineStr">
        <is>
          <t>แลก ฿7,999.74 -&gt; $247.44 @ 32.3300</t>
        </is>
      </c>
      <c r="U24" s="142" t="inlineStr">
        <is>
          <t>DIME EX</t>
        </is>
      </c>
      <c r="V24" s="158" t="inlineStr">
        <is>
          <t>Confirmed</t>
        </is>
      </c>
      <c r="W24" s="146" t="n">
        <v>247.44</v>
      </c>
      <c r="X24" s="137" t="inlineStr">
        <is>
          <t>USD</t>
        </is>
      </c>
    </row>
    <row r="25">
      <c r="B25" s="153" t="inlineStr">
        <is>
          <t>TX-00020</t>
        </is>
      </c>
      <c r="C25" s="144" t="n">
        <v>45904</v>
      </c>
      <c r="D25" s="154" t="inlineStr"/>
      <c r="E25" s="137" t="inlineStr">
        <is>
          <t>Buy</t>
        </is>
      </c>
      <c r="F25" s="136" t="inlineStr">
        <is>
          <t>Dime FCD USD</t>
        </is>
      </c>
      <c r="G25" s="136" t="inlineStr">
        <is>
          <t>Dime US Stocks</t>
        </is>
      </c>
      <c r="H25" s="159" t="n">
        <v>35</v>
      </c>
      <c r="I25" s="137" t="inlineStr">
        <is>
          <t>USD</t>
        </is>
      </c>
      <c r="J25" s="155">
        <f>IFERROR(LOOKUP(2,1/(tblFX[Date]&lt;=[@Date]),tblFX[Rate]),XLOOKUP("CURRENT_FX_USDTHB",tblSettings[Key],tblSettings[Value]))</f>
        <v/>
      </c>
      <c r="K25" s="128">
        <f>H25*J25</f>
        <v/>
      </c>
      <c r="L25" s="137" t="inlineStr">
        <is>
          <t>Investment</t>
        </is>
      </c>
      <c r="M25" s="136" t="inlineStr">
        <is>
          <t>US Stocks</t>
        </is>
      </c>
      <c r="N25" s="137" t="inlineStr">
        <is>
          <t>BEPC</t>
        </is>
      </c>
      <c r="O25" s="156" t="n">
        <v>1.053074978938501</v>
      </c>
      <c r="P25" s="157" t="n">
        <v>33.236</v>
      </c>
      <c r="Q25" s="146" t="n">
        <v>0</v>
      </c>
      <c r="R25" s="146" t="inlineStr"/>
      <c r="S25" s="142" t="inlineStr"/>
      <c r="T25" s="142" t="inlineStr">
        <is>
          <t>2-4 กันยายน 2568 — ซื้อวันที่ 2-4 ก.ย. 68</t>
        </is>
      </c>
      <c r="U25" s="142" t="inlineStr">
        <is>
          <t>USA STOCK HIS 2</t>
        </is>
      </c>
      <c r="V25" s="158" t="inlineStr">
        <is>
          <t>Confirmed</t>
        </is>
      </c>
      <c r="W25" s="146" t="n">
        <v>35</v>
      </c>
      <c r="X25" s="137" t="inlineStr">
        <is>
          <t>USD</t>
        </is>
      </c>
    </row>
    <row r="26">
      <c r="B26" s="153" t="inlineStr">
        <is>
          <t>TX-00021</t>
        </is>
      </c>
      <c r="C26" s="144" t="n">
        <v>45904</v>
      </c>
      <c r="D26" s="154" t="inlineStr"/>
      <c r="E26" s="137" t="inlineStr">
        <is>
          <t>Buy</t>
        </is>
      </c>
      <c r="F26" s="136" t="inlineStr">
        <is>
          <t>Dime FCD USD</t>
        </is>
      </c>
      <c r="G26" s="136" t="inlineStr">
        <is>
          <t>Dime US Stocks</t>
        </is>
      </c>
      <c r="H26" s="159" t="n">
        <v>388.0709</v>
      </c>
      <c r="I26" s="137" t="inlineStr">
        <is>
          <t>USD</t>
        </is>
      </c>
      <c r="J26" s="155">
        <f>IFERROR(LOOKUP(2,1/(tblFX[Date]&lt;=[@Date]),tblFX[Rate]),XLOOKUP("CURRENT_FX_USDTHB",tblSettings[Key],tblSettings[Value]))</f>
        <v/>
      </c>
      <c r="K26" s="128">
        <f>H26*J26</f>
        <v/>
      </c>
      <c r="L26" s="137" t="inlineStr">
        <is>
          <t>Investment</t>
        </is>
      </c>
      <c r="M26" s="136" t="inlineStr">
        <is>
          <t>US Stocks</t>
        </is>
      </c>
      <c r="N26" s="137" t="inlineStr">
        <is>
          <t>JEPQ</t>
        </is>
      </c>
      <c r="O26" s="156" t="n">
        <v>7</v>
      </c>
      <c r="P26" s="157" t="n">
        <v>55.4387</v>
      </c>
      <c r="Q26" s="146" t="n">
        <v>0</v>
      </c>
      <c r="R26" s="146" t="inlineStr"/>
      <c r="S26" s="142" t="inlineStr"/>
      <c r="T26" s="142" t="inlineStr">
        <is>
          <t>4 กันยายน 2568 — ซื้อ 7 หุ้น ซื้อเวลา 23:25:51 น. (พบจากภาพ IMG_7038, IMG_5441)</t>
        </is>
      </c>
      <c r="U26" s="142" t="inlineStr">
        <is>
          <t>USA STOCK HIS 2</t>
        </is>
      </c>
      <c r="V26" s="158" t="inlineStr">
        <is>
          <t>Confirmed</t>
        </is>
      </c>
      <c r="W26" s="146" t="n">
        <v>388.0709</v>
      </c>
      <c r="X26" s="137" t="inlineStr">
        <is>
          <t>USD</t>
        </is>
      </c>
    </row>
    <row r="27">
      <c r="B27" s="153" t="inlineStr">
        <is>
          <t>TX-00022</t>
        </is>
      </c>
      <c r="C27" s="144" t="n">
        <v>45904</v>
      </c>
      <c r="D27" s="154" t="inlineStr"/>
      <c r="E27" s="137" t="inlineStr">
        <is>
          <t>Buy</t>
        </is>
      </c>
      <c r="F27" s="136" t="inlineStr">
        <is>
          <t>Dime FCD USD</t>
        </is>
      </c>
      <c r="G27" s="136" t="inlineStr">
        <is>
          <t>Dime US Stocks</t>
        </is>
      </c>
      <c r="H27" s="159" t="n">
        <v>50.09</v>
      </c>
      <c r="I27" s="137" t="inlineStr">
        <is>
          <t>USD</t>
        </is>
      </c>
      <c r="J27" s="155">
        <f>IFERROR(LOOKUP(2,1/(tblFX[Date]&lt;=[@Date]),tblFX[Rate]),XLOOKUP("CURRENT_FX_USDTHB",tblSettings[Key],tblSettings[Value]))</f>
        <v/>
      </c>
      <c r="K27" s="128">
        <f>H27*J27</f>
        <v/>
      </c>
      <c r="L27" s="137" t="inlineStr">
        <is>
          <t>Investment</t>
        </is>
      </c>
      <c r="M27" s="136" t="inlineStr">
        <is>
          <t>US Stocks</t>
        </is>
      </c>
      <c r="N27" s="137" t="inlineStr">
        <is>
          <t>NVDA</t>
        </is>
      </c>
      <c r="O27" s="156" t="n">
        <v>0.2924997664206297</v>
      </c>
      <c r="P27" s="157" t="n">
        <v>171.248</v>
      </c>
      <c r="Q27" s="146" t="n">
        <v>0</v>
      </c>
      <c r="R27" s="146" t="inlineStr"/>
      <c r="S27" s="142" t="inlineStr"/>
      <c r="T27" s="142" t="inlineStr">
        <is>
          <t>2-4 กันยายน 2568 — ซื้อวันที่ 2-4 ก.ย. 68</t>
        </is>
      </c>
      <c r="U27" s="142" t="inlineStr">
        <is>
          <t>USA STOCK HIS 2</t>
        </is>
      </c>
      <c r="V27" s="158" t="inlineStr">
        <is>
          <t>Confirmed</t>
        </is>
      </c>
      <c r="W27" s="146" t="n">
        <v>50.09</v>
      </c>
      <c r="X27" s="137" t="inlineStr">
        <is>
          <t>USD</t>
        </is>
      </c>
    </row>
    <row r="28">
      <c r="B28" s="153" t="inlineStr">
        <is>
          <t>TX-00023</t>
        </is>
      </c>
      <c r="C28" s="144" t="n">
        <v>45904</v>
      </c>
      <c r="D28" s="154" t="inlineStr"/>
      <c r="E28" s="137" t="inlineStr">
        <is>
          <t>Buy</t>
        </is>
      </c>
      <c r="F28" s="136" t="inlineStr">
        <is>
          <t>Dime FCD USD</t>
        </is>
      </c>
      <c r="G28" s="136" t="inlineStr">
        <is>
          <t>Dime US Stocks</t>
        </is>
      </c>
      <c r="H28" s="159" t="n">
        <v>300.48</v>
      </c>
      <c r="I28" s="137" t="inlineStr">
        <is>
          <t>USD</t>
        </is>
      </c>
      <c r="J28" s="155">
        <f>IFERROR(LOOKUP(2,1/(tblFX[Date]&lt;=[@Date]),tblFX[Rate]),XLOOKUP("CURRENT_FX_USDTHB",tblSettings[Key],tblSettings[Value]))</f>
        <v/>
      </c>
      <c r="K28" s="128">
        <f>H28*J28</f>
        <v/>
      </c>
      <c r="L28" s="137" t="inlineStr">
        <is>
          <t>Investment</t>
        </is>
      </c>
      <c r="M28" s="136" t="inlineStr">
        <is>
          <t>US Stocks</t>
        </is>
      </c>
      <c r="N28" s="137" t="inlineStr">
        <is>
          <t>SCHD</t>
        </is>
      </c>
      <c r="O28" s="156" t="n">
        <v>10.89682683590209</v>
      </c>
      <c r="P28" s="157" t="n">
        <v>27.575</v>
      </c>
      <c r="Q28" s="146" t="n">
        <v>0</v>
      </c>
      <c r="R28" s="146" t="inlineStr"/>
      <c r="S28" s="142" t="inlineStr"/>
      <c r="T28" s="142" t="inlineStr">
        <is>
          <t>2-4 กันยายน 2568 — ซื้อวันที่ 2-4 ก.ย. 68</t>
        </is>
      </c>
      <c r="U28" s="142" t="inlineStr">
        <is>
          <t>USA STOCK HIS 2</t>
        </is>
      </c>
      <c r="V28" s="158" t="inlineStr">
        <is>
          <t>Confirmed</t>
        </is>
      </c>
      <c r="W28" s="146" t="n">
        <v>300.48</v>
      </c>
      <c r="X28" s="137" t="inlineStr">
        <is>
          <t>USD</t>
        </is>
      </c>
    </row>
    <row r="29">
      <c r="B29" s="153" t="inlineStr">
        <is>
          <t>TX-00024</t>
        </is>
      </c>
      <c r="C29" s="144" t="n">
        <v>45910</v>
      </c>
      <c r="D29" s="154" t="inlineStr"/>
      <c r="E29" s="137" t="inlineStr">
        <is>
          <t>Buy</t>
        </is>
      </c>
      <c r="F29" s="136" t="inlineStr">
        <is>
          <t>Dime FCD USD</t>
        </is>
      </c>
      <c r="G29" s="136" t="inlineStr">
        <is>
          <t>Dime US Stocks</t>
        </is>
      </c>
      <c r="H29" s="159" t="n">
        <v>74.98999999999999</v>
      </c>
      <c r="I29" s="137" t="inlineStr">
        <is>
          <t>USD</t>
        </is>
      </c>
      <c r="J29" s="155">
        <f>IFERROR(LOOKUP(2,1/(tblFX[Date]&lt;=[@Date]),tblFX[Rate]),XLOOKUP("CURRENT_FX_USDTHB",tblSettings[Key],tblSettings[Value]))</f>
        <v/>
      </c>
      <c r="K29" s="128">
        <f>H29*J29</f>
        <v/>
      </c>
      <c r="L29" s="137" t="inlineStr">
        <is>
          <t>Investment</t>
        </is>
      </c>
      <c r="M29" s="136" t="inlineStr">
        <is>
          <t>US Stocks</t>
        </is>
      </c>
      <c r="N29" s="137" t="inlineStr">
        <is>
          <t>AAPL</t>
        </is>
      </c>
      <c r="O29" s="156" t="n">
        <v>0.3143865709686074</v>
      </c>
      <c r="P29" s="157" t="n">
        <v>238.528</v>
      </c>
      <c r="Q29" s="146" t="n">
        <v>0</v>
      </c>
      <c r="R29" s="146" t="inlineStr"/>
      <c r="S29" s="142" t="inlineStr"/>
      <c r="T29" s="142" t="inlineStr">
        <is>
          <t>8-12 กันยายน 2568 — ซื้อกระจายหลายวัน</t>
        </is>
      </c>
      <c r="U29" s="142" t="inlineStr">
        <is>
          <t>USA STOCK HIS 2</t>
        </is>
      </c>
      <c r="V29" s="158" t="inlineStr">
        <is>
          <t>Confirmed</t>
        </is>
      </c>
      <c r="W29" s="146" t="n">
        <v>74.98999999999999</v>
      </c>
      <c r="X29" s="137" t="inlineStr">
        <is>
          <t>USD</t>
        </is>
      </c>
    </row>
    <row r="30">
      <c r="B30" s="153" t="inlineStr">
        <is>
          <t>TX-00025</t>
        </is>
      </c>
      <c r="C30" s="144" t="n">
        <v>45910</v>
      </c>
      <c r="D30" s="154" t="inlineStr"/>
      <c r="E30" s="137" t="inlineStr">
        <is>
          <t>Buy</t>
        </is>
      </c>
      <c r="F30" s="136" t="inlineStr">
        <is>
          <t>Dime FCD USD</t>
        </is>
      </c>
      <c r="G30" s="136" t="inlineStr">
        <is>
          <t>Dime US Stocks</t>
        </is>
      </c>
      <c r="H30" s="159" t="n">
        <v>140.5</v>
      </c>
      <c r="I30" s="137" t="inlineStr">
        <is>
          <t>USD</t>
        </is>
      </c>
      <c r="J30" s="155">
        <f>IFERROR(LOOKUP(2,1/(tblFX[Date]&lt;=[@Date]),tblFX[Rate]),XLOOKUP("CURRENT_FX_USDTHB",tblSettings[Key],tblSettings[Value]))</f>
        <v/>
      </c>
      <c r="K30" s="128">
        <f>H30*J30</f>
        <v/>
      </c>
      <c r="L30" s="137" t="inlineStr">
        <is>
          <t>Investment</t>
        </is>
      </c>
      <c r="M30" s="136" t="inlineStr">
        <is>
          <t>US Stocks</t>
        </is>
      </c>
      <c r="N30" s="137" t="inlineStr">
        <is>
          <t>AMZN</t>
        </is>
      </c>
      <c r="O30" s="156" t="n">
        <v>0.6154830117927421</v>
      </c>
      <c r="P30" s="157" t="n">
        <v>228.276</v>
      </c>
      <c r="Q30" s="146" t="n">
        <v>0</v>
      </c>
      <c r="R30" s="146" t="inlineStr"/>
      <c r="S30" s="142" t="inlineStr"/>
      <c r="T30" s="142" t="inlineStr">
        <is>
          <t>8-12 กันยายน 2568 — ซื้อกระจายหลายวัน</t>
        </is>
      </c>
      <c r="U30" s="142" t="inlineStr">
        <is>
          <t>USA STOCK HIS 2</t>
        </is>
      </c>
      <c r="V30" s="158" t="inlineStr">
        <is>
          <t>Confirmed</t>
        </is>
      </c>
      <c r="W30" s="146" t="n">
        <v>140.5</v>
      </c>
      <c r="X30" s="137" t="inlineStr">
        <is>
          <t>USD</t>
        </is>
      </c>
    </row>
    <row r="31">
      <c r="B31" s="153" t="inlineStr">
        <is>
          <t>TX-00026</t>
        </is>
      </c>
      <c r="C31" s="144" t="n">
        <v>45910</v>
      </c>
      <c r="D31" s="154" t="inlineStr"/>
      <c r="E31" s="137" t="inlineStr">
        <is>
          <t>Buy</t>
        </is>
      </c>
      <c r="F31" s="136" t="inlineStr">
        <is>
          <t>Dime FCD USD</t>
        </is>
      </c>
      <c r="G31" s="136" t="inlineStr">
        <is>
          <t>Dime US Stocks</t>
        </is>
      </c>
      <c r="H31" s="159" t="n">
        <v>100.3</v>
      </c>
      <c r="I31" s="137" t="inlineStr">
        <is>
          <t>USD</t>
        </is>
      </c>
      <c r="J31" s="155">
        <f>IFERROR(LOOKUP(2,1/(tblFX[Date]&lt;=[@Date]),tblFX[Rate]),XLOOKUP("CURRENT_FX_USDTHB",tblSettings[Key],tblSettings[Value]))</f>
        <v/>
      </c>
      <c r="K31" s="128">
        <f>H31*J31</f>
        <v/>
      </c>
      <c r="L31" s="137" t="inlineStr">
        <is>
          <t>Investment</t>
        </is>
      </c>
      <c r="M31" s="136" t="inlineStr">
        <is>
          <t>US Stocks</t>
        </is>
      </c>
      <c r="N31" s="137" t="inlineStr">
        <is>
          <t>META</t>
        </is>
      </c>
      <c r="O31" s="156" t="n">
        <v>0.1331821368629034</v>
      </c>
      <c r="P31" s="157" t="n">
        <v>753.104</v>
      </c>
      <c r="Q31" s="146" t="n">
        <v>0</v>
      </c>
      <c r="R31" s="146" t="inlineStr"/>
      <c r="S31" s="142" t="inlineStr"/>
      <c r="T31" s="142" t="inlineStr">
        <is>
          <t>8-12 กันยายน 2568 — ซื้อกระจายหลายวัน</t>
        </is>
      </c>
      <c r="U31" s="142" t="inlineStr">
        <is>
          <t>USA STOCK HIS 2</t>
        </is>
      </c>
      <c r="V31" s="158" t="inlineStr">
        <is>
          <t>Confirmed</t>
        </is>
      </c>
      <c r="W31" s="146" t="n">
        <v>100.3</v>
      </c>
      <c r="X31" s="137" t="inlineStr">
        <is>
          <t>USD</t>
        </is>
      </c>
    </row>
    <row r="32">
      <c r="B32" s="153" t="inlineStr">
        <is>
          <t>TX-00027</t>
        </is>
      </c>
      <c r="C32" s="144" t="n">
        <v>45910</v>
      </c>
      <c r="D32" s="154" t="inlineStr"/>
      <c r="E32" s="137" t="inlineStr">
        <is>
          <t>Buy</t>
        </is>
      </c>
      <c r="F32" s="136" t="inlineStr">
        <is>
          <t>Dime FCD USD</t>
        </is>
      </c>
      <c r="G32" s="136" t="inlineStr">
        <is>
          <t>Dime US Stocks</t>
        </is>
      </c>
      <c r="H32" s="159" t="n">
        <v>150.5</v>
      </c>
      <c r="I32" s="137" t="inlineStr">
        <is>
          <t>USD</t>
        </is>
      </c>
      <c r="J32" s="155">
        <f>IFERROR(LOOKUP(2,1/(tblFX[Date]&lt;=[@Date]),tblFX[Rate]),XLOOKUP("CURRENT_FX_USDTHB",tblSettings[Key],tblSettings[Value]))</f>
        <v/>
      </c>
      <c r="K32" s="128">
        <f>H32*J32</f>
        <v/>
      </c>
      <c r="L32" s="137" t="inlineStr">
        <is>
          <t>Investment</t>
        </is>
      </c>
      <c r="M32" s="136" t="inlineStr">
        <is>
          <t>US Stocks</t>
        </is>
      </c>
      <c r="N32" s="137" t="inlineStr">
        <is>
          <t>MSFT</t>
        </is>
      </c>
      <c r="O32" s="156" t="n">
        <v>0.3018560637969281</v>
      </c>
      <c r="P32" s="157" t="n">
        <v>498.582</v>
      </c>
      <c r="Q32" s="146" t="n">
        <v>0</v>
      </c>
      <c r="R32" s="146" t="inlineStr"/>
      <c r="S32" s="142" t="inlineStr"/>
      <c r="T32" s="142" t="inlineStr">
        <is>
          <t>8-12 กันยายน 2568 — ซื้อกระจายหลายวัน</t>
        </is>
      </c>
      <c r="U32" s="142" t="inlineStr">
        <is>
          <t>USA STOCK HIS 2</t>
        </is>
      </c>
      <c r="V32" s="158" t="inlineStr">
        <is>
          <t>Confirmed</t>
        </is>
      </c>
      <c r="W32" s="146" t="n">
        <v>150.5</v>
      </c>
      <c r="X32" s="137" t="inlineStr">
        <is>
          <t>USD</t>
        </is>
      </c>
    </row>
    <row r="33">
      <c r="B33" s="153" t="inlineStr">
        <is>
          <t>TX-00028</t>
        </is>
      </c>
      <c r="C33" s="144" t="n">
        <v>45910</v>
      </c>
      <c r="D33" s="154" t="inlineStr"/>
      <c r="E33" s="137" t="inlineStr">
        <is>
          <t>Buy</t>
        </is>
      </c>
      <c r="F33" s="136" t="inlineStr">
        <is>
          <t>Dime FCD USD</t>
        </is>
      </c>
      <c r="G33" s="136" t="inlineStr">
        <is>
          <t>Dime US Stocks</t>
        </is>
      </c>
      <c r="H33" s="159" t="n">
        <v>100</v>
      </c>
      <c r="I33" s="137" t="inlineStr">
        <is>
          <t>USD</t>
        </is>
      </c>
      <c r="J33" s="155">
        <f>IFERROR(LOOKUP(2,1/(tblFX[Date]&lt;=[@Date]),tblFX[Rate]),XLOOKUP("CURRENT_FX_USDTHB",tblSettings[Key],tblSettings[Value]))</f>
        <v/>
      </c>
      <c r="K33" s="128">
        <f>H33*J33</f>
        <v/>
      </c>
      <c r="L33" s="137" t="inlineStr">
        <is>
          <t>Investment</t>
        </is>
      </c>
      <c r="M33" s="136" t="inlineStr">
        <is>
          <t>US Stocks</t>
        </is>
      </c>
      <c r="N33" s="137" t="inlineStr">
        <is>
          <t>NVDA</t>
        </is>
      </c>
      <c r="O33" s="156" t="n">
        <v>0.5878272728341505</v>
      </c>
      <c r="P33" s="157" t="n">
        <v>170.118</v>
      </c>
      <c r="Q33" s="146" t="n">
        <v>0</v>
      </c>
      <c r="R33" s="146" t="inlineStr"/>
      <c r="S33" s="142" t="inlineStr"/>
      <c r="T33" s="142" t="inlineStr">
        <is>
          <t>8-12 กันยายน 2568 — ซื้อกระจายหลายวัน</t>
        </is>
      </c>
      <c r="U33" s="142" t="inlineStr">
        <is>
          <t>USA STOCK HIS 2</t>
        </is>
      </c>
      <c r="V33" s="158" t="inlineStr">
        <is>
          <t>Confirmed</t>
        </is>
      </c>
      <c r="W33" s="146" t="n">
        <v>100</v>
      </c>
      <c r="X33" s="137" t="inlineStr">
        <is>
          <t>USD</t>
        </is>
      </c>
    </row>
    <row r="34">
      <c r="B34" s="153" t="inlineStr">
        <is>
          <t>TX-00029</t>
        </is>
      </c>
      <c r="C34" s="144" t="n">
        <v>45915</v>
      </c>
      <c r="D34" s="154" t="inlineStr"/>
      <c r="E34" s="137" t="inlineStr">
        <is>
          <t>Buy</t>
        </is>
      </c>
      <c r="F34" s="136" t="inlineStr">
        <is>
          <t>Dime FCD USD</t>
        </is>
      </c>
      <c r="G34" s="136" t="inlineStr">
        <is>
          <t>Dime US Stocks</t>
        </is>
      </c>
      <c r="H34" s="159" t="n">
        <v>31.7072</v>
      </c>
      <c r="I34" s="137" t="inlineStr">
        <is>
          <t>USD</t>
        </is>
      </c>
      <c r="J34" s="155">
        <f>IFERROR(LOOKUP(2,1/(tblFX[Date]&lt;=[@Date]),tblFX[Rate]),XLOOKUP("CURRENT_FX_USDTHB",tblSettings[Key],tblSettings[Value]))</f>
        <v/>
      </c>
      <c r="K34" s="128">
        <f>H34*J34</f>
        <v/>
      </c>
      <c r="L34" s="137" t="inlineStr">
        <is>
          <t>Investment</t>
        </is>
      </c>
      <c r="M34" s="136" t="inlineStr">
        <is>
          <t>US Stocks</t>
        </is>
      </c>
      <c r="N34" s="137" t="inlineStr">
        <is>
          <t>SCHG</t>
        </is>
      </c>
      <c r="O34" s="156" t="n">
        <v>1</v>
      </c>
      <c r="P34" s="157" t="n">
        <v>31.7072</v>
      </c>
      <c r="Q34" s="146" t="n">
        <v>0</v>
      </c>
      <c r="R34" s="146" t="inlineStr"/>
      <c r="S34" s="142" t="inlineStr"/>
      <c r="T34" s="142" t="inlineStr">
        <is>
          <t>15 กันยายน 2568 — ซื้อวันที่ 15 ก.ย. 68 เวลา 23:10-23:21 น.</t>
        </is>
      </c>
      <c r="U34" s="142" t="inlineStr">
        <is>
          <t>USA STOCK HIS 2</t>
        </is>
      </c>
      <c r="V34" s="158" t="inlineStr">
        <is>
          <t>Confirmed</t>
        </is>
      </c>
      <c r="W34" s="146" t="n">
        <v>31.7072</v>
      </c>
      <c r="X34" s="137" t="inlineStr">
        <is>
          <t>USD</t>
        </is>
      </c>
    </row>
    <row r="35">
      <c r="B35" s="153" t="inlineStr">
        <is>
          <t>TX-00030</t>
        </is>
      </c>
      <c r="C35" s="144" t="n">
        <v>45915</v>
      </c>
      <c r="D35" s="154" t="inlineStr"/>
      <c r="E35" s="137" t="inlineStr">
        <is>
          <t>Buy</t>
        </is>
      </c>
      <c r="F35" s="136" t="inlineStr">
        <is>
          <t>Dime FCD USD</t>
        </is>
      </c>
      <c r="G35" s="136" t="inlineStr">
        <is>
          <t>Dime US Stocks</t>
        </is>
      </c>
      <c r="H35" s="159" t="n">
        <v>100.5</v>
      </c>
      <c r="I35" s="137" t="inlineStr">
        <is>
          <t>USD</t>
        </is>
      </c>
      <c r="J35" s="155">
        <f>IFERROR(LOOKUP(2,1/(tblFX[Date]&lt;=[@Date]),tblFX[Rate]),XLOOKUP("CURRENT_FX_USDTHB",tblSettings[Key],tblSettings[Value]))</f>
        <v/>
      </c>
      <c r="K35" s="128">
        <f>H35*J35</f>
        <v/>
      </c>
      <c r="L35" s="137" t="inlineStr">
        <is>
          <t>Investment</t>
        </is>
      </c>
      <c r="M35" s="136" t="inlineStr">
        <is>
          <t>US Stocks</t>
        </is>
      </c>
      <c r="N35" s="137" t="inlineStr">
        <is>
          <t>V</t>
        </is>
      </c>
      <c r="O35" s="156" t="n">
        <v>0.2958579881656805</v>
      </c>
      <c r="P35" s="157" t="n">
        <v>339.69</v>
      </c>
      <c r="Q35" s="146" t="n">
        <v>0</v>
      </c>
      <c r="R35" s="146" t="inlineStr"/>
      <c r="S35" s="142" t="inlineStr"/>
      <c r="T35" s="142" t="inlineStr">
        <is>
          <t>15 กันยายน 2568 — ซื้อวันที่ 15 ก.ย. 68 เวลา 23:10-23:21 น.</t>
        </is>
      </c>
      <c r="U35" s="142" t="inlineStr">
        <is>
          <t>USA STOCK HIS 2</t>
        </is>
      </c>
      <c r="V35" s="158" t="inlineStr">
        <is>
          <t>Confirmed</t>
        </is>
      </c>
      <c r="W35" s="146" t="n">
        <v>100.5</v>
      </c>
      <c r="X35" s="137" t="inlineStr">
        <is>
          <t>USD</t>
        </is>
      </c>
    </row>
    <row r="36">
      <c r="B36" s="153" t="inlineStr">
        <is>
          <t>TX-00031</t>
        </is>
      </c>
      <c r="C36" s="144" t="n">
        <v>45929</v>
      </c>
      <c r="D36" s="154" t="inlineStr"/>
      <c r="E36" s="137" t="inlineStr">
        <is>
          <t>Buy</t>
        </is>
      </c>
      <c r="F36" s="136" t="inlineStr">
        <is>
          <t>Dime FCD USD</t>
        </is>
      </c>
      <c r="G36" s="136" t="inlineStr">
        <is>
          <t>Dime US Stocks</t>
        </is>
      </c>
      <c r="H36" s="159" t="n">
        <v>20</v>
      </c>
      <c r="I36" s="137" t="inlineStr">
        <is>
          <t>USD</t>
        </is>
      </c>
      <c r="J36" s="155">
        <f>IFERROR(LOOKUP(2,1/(tblFX[Date]&lt;=[@Date]),tblFX[Rate]),XLOOKUP("CURRENT_FX_USDTHB",tblSettings[Key],tblSettings[Value]))</f>
        <v/>
      </c>
      <c r="K36" s="128">
        <f>H36*J36</f>
        <v/>
      </c>
      <c r="L36" s="137" t="inlineStr">
        <is>
          <t>Investment</t>
        </is>
      </c>
      <c r="M36" s="136" t="inlineStr">
        <is>
          <t>US Stocks</t>
        </is>
      </c>
      <c r="N36" s="137" t="inlineStr">
        <is>
          <t>AMZN</t>
        </is>
      </c>
      <c r="O36" s="156" t="n">
        <v>0.09035954061209553</v>
      </c>
      <c r="P36" s="157" t="n">
        <v>221.338</v>
      </c>
      <c r="Q36" s="146" t="n">
        <v>0</v>
      </c>
      <c r="R36" s="146" t="inlineStr"/>
      <c r="S36" s="142" t="inlineStr"/>
      <c r="T36" s="142" t="inlineStr">
        <is>
          <t>29-30 กันยายน 2568 — ซื้อวันที่ 29-30 ก.ย. 68 เวลา 21:46-21:48 น.</t>
        </is>
      </c>
      <c r="U36" s="142" t="inlineStr">
        <is>
          <t>USA STOCK HIS 2</t>
        </is>
      </c>
      <c r="V36" s="158" t="inlineStr">
        <is>
          <t>Confirmed</t>
        </is>
      </c>
      <c r="W36" s="146" t="n">
        <v>20</v>
      </c>
      <c r="X36" s="137" t="inlineStr">
        <is>
          <t>USD</t>
        </is>
      </c>
    </row>
    <row r="37">
      <c r="B37" s="153" t="inlineStr">
        <is>
          <t>TX-00032</t>
        </is>
      </c>
      <c r="C37" s="144" t="n">
        <v>45929</v>
      </c>
      <c r="D37" s="154" t="inlineStr"/>
      <c r="E37" s="137" t="inlineStr">
        <is>
          <t>Buy</t>
        </is>
      </c>
      <c r="F37" s="136" t="inlineStr">
        <is>
          <t>Dime FCD USD</t>
        </is>
      </c>
      <c r="G37" s="136" t="inlineStr">
        <is>
          <t>Dime US Stocks</t>
        </is>
      </c>
      <c r="H37" s="159" t="n">
        <v>22.5</v>
      </c>
      <c r="I37" s="137" t="inlineStr">
        <is>
          <t>USD</t>
        </is>
      </c>
      <c r="J37" s="155">
        <f>IFERROR(LOOKUP(2,1/(tblFX[Date]&lt;=[@Date]),tblFX[Rate]),XLOOKUP("CURRENT_FX_USDTHB",tblSettings[Key],tblSettings[Value]))</f>
        <v/>
      </c>
      <c r="K37" s="128">
        <f>H37*J37</f>
        <v/>
      </c>
      <c r="L37" s="137" t="inlineStr">
        <is>
          <t>Investment</t>
        </is>
      </c>
      <c r="M37" s="136" t="inlineStr">
        <is>
          <t>US Stocks</t>
        </is>
      </c>
      <c r="N37" s="137" t="inlineStr">
        <is>
          <t>SCHD</t>
        </is>
      </c>
      <c r="O37" s="156" t="n">
        <v>0.8294013565319964</v>
      </c>
      <c r="P37" s="157" t="n">
        <v>27.128</v>
      </c>
      <c r="Q37" s="146" t="n">
        <v>0</v>
      </c>
      <c r="R37" s="146" t="inlineStr"/>
      <c r="S37" s="142" t="inlineStr"/>
      <c r="T37" s="142" t="inlineStr">
        <is>
          <t>29-30 กันยายน 2568 — ซื้อวันที่ 29-30 ก.ย. 68 เวลา 21:46-21:48 น.</t>
        </is>
      </c>
      <c r="U37" s="142" t="inlineStr">
        <is>
          <t>USA STOCK HIS 2</t>
        </is>
      </c>
      <c r="V37" s="158" t="inlineStr">
        <is>
          <t>Confirmed</t>
        </is>
      </c>
      <c r="W37" s="146" t="n">
        <v>22.5</v>
      </c>
      <c r="X37" s="137" t="inlineStr">
        <is>
          <t>USD</t>
        </is>
      </c>
    </row>
    <row r="38">
      <c r="B38" s="153" t="inlineStr">
        <is>
          <t>TX-00033</t>
        </is>
      </c>
      <c r="C38" s="144" t="n">
        <v>45930</v>
      </c>
      <c r="D38" s="154" t="inlineStr">
        <is>
          <t>15:52:26</t>
        </is>
      </c>
      <c r="E38" s="137" t="inlineStr">
        <is>
          <t>Buy</t>
        </is>
      </c>
      <c r="F38" s="136" t="inlineStr">
        <is>
          <t>Dime FCD USD</t>
        </is>
      </c>
      <c r="G38" s="136" t="inlineStr">
        <is>
          <t>Dime Gold</t>
        </is>
      </c>
      <c r="H38" s="159" t="n">
        <v>19.87</v>
      </c>
      <c r="I38" s="137" t="inlineStr">
        <is>
          <t>USD</t>
        </is>
      </c>
      <c r="J38" s="155">
        <f>IFERROR(LOOKUP(2,1/(tblFX[Date]&lt;=[@Date]),tblFX[Rate]),XLOOKUP("CURRENT_FX_USDTHB",tblSettings[Key],tblSettings[Value]))</f>
        <v/>
      </c>
      <c r="K38" s="128">
        <f>H38*J38</f>
        <v/>
      </c>
      <c r="L38" s="137" t="inlineStr">
        <is>
          <t>Investment</t>
        </is>
      </c>
      <c r="M38" s="136" t="inlineStr">
        <is>
          <t>Gold</t>
        </is>
      </c>
      <c r="N38" s="137" t="inlineStr">
        <is>
          <t>MTS-GOLD</t>
        </is>
      </c>
      <c r="O38" s="156" t="n">
        <v>0.0052</v>
      </c>
      <c r="P38" s="157" t="n">
        <v>3820.91</v>
      </c>
      <c r="Q38" s="146" t="n">
        <v>0</v>
      </c>
      <c r="R38" s="146" t="inlineStr"/>
      <c r="S38" s="142" t="inlineStr"/>
      <c r="T38" s="142" t="inlineStr"/>
      <c r="U38" s="142" t="inlineStr">
        <is>
          <t>Dime app IMG_7097-7102</t>
        </is>
      </c>
      <c r="V38" s="158" t="inlineStr">
        <is>
          <t>Confirmed</t>
        </is>
      </c>
      <c r="W38" s="146" t="n">
        <v>19.87</v>
      </c>
      <c r="X38" s="137" t="inlineStr">
        <is>
          <t>USD</t>
        </is>
      </c>
    </row>
    <row r="39">
      <c r="B39" s="153" t="inlineStr">
        <is>
          <t>TX-00034</t>
        </is>
      </c>
      <c r="C39" s="144" t="n">
        <v>45930</v>
      </c>
      <c r="D39" s="154" t="inlineStr">
        <is>
          <t>16:28:46</t>
        </is>
      </c>
      <c r="E39" s="137" t="inlineStr">
        <is>
          <t>Buy</t>
        </is>
      </c>
      <c r="F39" s="136" t="inlineStr">
        <is>
          <t>Dime FCD USD</t>
        </is>
      </c>
      <c r="G39" s="136" t="inlineStr">
        <is>
          <t>Dime Gold</t>
        </is>
      </c>
      <c r="H39" s="159" t="n">
        <v>19.77</v>
      </c>
      <c r="I39" s="137" t="inlineStr">
        <is>
          <t>USD</t>
        </is>
      </c>
      <c r="J39" s="155">
        <f>IFERROR(LOOKUP(2,1/(tblFX[Date]&lt;=[@Date]),tblFX[Rate]),XLOOKUP("CURRENT_FX_USDTHB",tblSettings[Key],tblSettings[Value]))</f>
        <v/>
      </c>
      <c r="K39" s="128">
        <f>H39*J39</f>
        <v/>
      </c>
      <c r="L39" s="137" t="inlineStr">
        <is>
          <t>Investment</t>
        </is>
      </c>
      <c r="M39" s="136" t="inlineStr">
        <is>
          <t>Gold</t>
        </is>
      </c>
      <c r="N39" s="137" t="inlineStr">
        <is>
          <t>MTS-GOLD</t>
        </is>
      </c>
      <c r="O39" s="156" t="n">
        <v>0.0052</v>
      </c>
      <c r="P39" s="157" t="n">
        <v>3801.3</v>
      </c>
      <c r="Q39" s="146" t="n">
        <v>0</v>
      </c>
      <c r="R39" s="146" t="inlineStr"/>
      <c r="S39" s="142" t="inlineStr"/>
      <c r="T39" s="142" t="inlineStr"/>
      <c r="U39" s="142" t="inlineStr">
        <is>
          <t>Dime app IMG_7097-7102</t>
        </is>
      </c>
      <c r="V39" s="158" t="inlineStr">
        <is>
          <t>Confirmed</t>
        </is>
      </c>
      <c r="W39" s="146" t="n">
        <v>19.77</v>
      </c>
      <c r="X39" s="137" t="inlineStr">
        <is>
          <t>USD</t>
        </is>
      </c>
    </row>
    <row r="40">
      <c r="B40" s="153" t="inlineStr">
        <is>
          <t>TX-00035</t>
        </is>
      </c>
      <c r="C40" s="144" t="n">
        <v>45931</v>
      </c>
      <c r="D40" s="154" t="inlineStr"/>
      <c r="E40" s="137" t="inlineStr">
        <is>
          <t>Buy</t>
        </is>
      </c>
      <c r="F40" s="136" t="inlineStr">
        <is>
          <t>Dime FCD USD</t>
        </is>
      </c>
      <c r="G40" s="136" t="inlineStr">
        <is>
          <t>Dime US Stocks</t>
        </is>
      </c>
      <c r="H40" s="159" t="n">
        <v>15.63</v>
      </c>
      <c r="I40" s="137" t="inlineStr">
        <is>
          <t>USD</t>
        </is>
      </c>
      <c r="J40" s="155">
        <f>IFERROR(LOOKUP(2,1/(tblFX[Date]&lt;=[@Date]),tblFX[Rate]),XLOOKUP("CURRENT_FX_USDTHB",tblSettings[Key],tblSettings[Value]))</f>
        <v/>
      </c>
      <c r="K40" s="128">
        <f>H40*J40</f>
        <v/>
      </c>
      <c r="L40" s="137" t="inlineStr">
        <is>
          <t>Investment</t>
        </is>
      </c>
      <c r="M40" s="136" t="inlineStr">
        <is>
          <t>US Stocks</t>
        </is>
      </c>
      <c r="N40" s="137" t="inlineStr">
        <is>
          <t>AMZN</t>
        </is>
      </c>
      <c r="O40" s="156" t="n">
        <v>0.07036230057262219</v>
      </c>
      <c r="P40" s="157" t="n">
        <v>222.136</v>
      </c>
      <c r="Q40" s="146" t="n">
        <v>0</v>
      </c>
      <c r="R40" s="146" t="inlineStr"/>
      <c r="S40" s="142" t="inlineStr"/>
      <c r="T40" s="142" t="inlineStr">
        <is>
          <t>1-3 ตุลาคม 2568 — ซื้อวันที่ 1-3 ต.ค. 68 เวลา 22:03-00:20 น.</t>
        </is>
      </c>
      <c r="U40" s="142" t="inlineStr">
        <is>
          <t>USA STOCK HIS 2</t>
        </is>
      </c>
      <c r="V40" s="158" t="inlineStr">
        <is>
          <t>Confirmed</t>
        </is>
      </c>
      <c r="W40" s="146" t="n">
        <v>15.63</v>
      </c>
      <c r="X40" s="137" t="inlineStr">
        <is>
          <t>USD</t>
        </is>
      </c>
    </row>
    <row r="41">
      <c r="B41" s="153" t="inlineStr">
        <is>
          <t>TX-00036</t>
        </is>
      </c>
      <c r="C41" s="144" t="n">
        <v>45931</v>
      </c>
      <c r="D41" s="154" t="inlineStr"/>
      <c r="E41" s="137" t="inlineStr">
        <is>
          <t>Buy</t>
        </is>
      </c>
      <c r="F41" s="136" t="inlineStr">
        <is>
          <t>Dime FCD USD</t>
        </is>
      </c>
      <c r="G41" s="136" t="inlineStr">
        <is>
          <t>Dime US Stocks</t>
        </is>
      </c>
      <c r="H41" s="159" t="n">
        <v>1.88</v>
      </c>
      <c r="I41" s="137" t="inlineStr">
        <is>
          <t>USD</t>
        </is>
      </c>
      <c r="J41" s="155">
        <f>IFERROR(LOOKUP(2,1/(tblFX[Date]&lt;=[@Date]),tblFX[Rate]),XLOOKUP("CURRENT_FX_USDTHB",tblSettings[Key],tblSettings[Value]))</f>
        <v/>
      </c>
      <c r="K41" s="128">
        <f>H41*J41</f>
        <v/>
      </c>
      <c r="L41" s="137" t="inlineStr">
        <is>
          <t>Investment</t>
        </is>
      </c>
      <c r="M41" s="136" t="inlineStr">
        <is>
          <t>US Stocks</t>
        </is>
      </c>
      <c r="N41" s="137" t="inlineStr">
        <is>
          <t>BEPC</t>
        </is>
      </c>
      <c r="O41" s="156" t="n">
        <v>0.05256976679156646</v>
      </c>
      <c r="P41" s="157" t="n">
        <v>35.762</v>
      </c>
      <c r="Q41" s="146" t="n">
        <v>0</v>
      </c>
      <c r="R41" s="146" t="inlineStr"/>
      <c r="S41" s="142" t="inlineStr"/>
      <c r="T41" s="142" t="inlineStr">
        <is>
          <t>1-3 ตุลาคม 2568 — ซื้อวันที่ 1-3 ต.ค. 68 เวลา 22:03-00:20 น.</t>
        </is>
      </c>
      <c r="U41" s="142" t="inlineStr">
        <is>
          <t>USA STOCK HIS 2</t>
        </is>
      </c>
      <c r="V41" s="158" t="inlineStr">
        <is>
          <t>Confirmed</t>
        </is>
      </c>
      <c r="W41" s="146" t="n">
        <v>1.88</v>
      </c>
      <c r="X41" s="137" t="inlineStr">
        <is>
          <t>USD</t>
        </is>
      </c>
    </row>
    <row r="42">
      <c r="B42" s="153" t="inlineStr">
        <is>
          <t>TX-00037</t>
        </is>
      </c>
      <c r="C42" s="144" t="n">
        <v>45931</v>
      </c>
      <c r="D42" s="154" t="inlineStr"/>
      <c r="E42" s="137" t="inlineStr">
        <is>
          <t>Buy</t>
        </is>
      </c>
      <c r="F42" s="136" t="inlineStr">
        <is>
          <t>Dime FCD USD</t>
        </is>
      </c>
      <c r="G42" s="136" t="inlineStr">
        <is>
          <t>Dime US Stocks</t>
        </is>
      </c>
      <c r="H42" s="159" t="n">
        <v>20.5</v>
      </c>
      <c r="I42" s="137" t="inlineStr">
        <is>
          <t>USD</t>
        </is>
      </c>
      <c r="J42" s="155">
        <f>IFERROR(LOOKUP(2,1/(tblFX[Date]&lt;=[@Date]),tblFX[Rate]),XLOOKUP("CURRENT_FX_USDTHB",tblSettings[Key],tblSettings[Value]))</f>
        <v/>
      </c>
      <c r="K42" s="128">
        <f>H42*J42</f>
        <v/>
      </c>
      <c r="L42" s="137" t="inlineStr">
        <is>
          <t>Investment</t>
        </is>
      </c>
      <c r="M42" s="136" t="inlineStr">
        <is>
          <t>US Stocks</t>
        </is>
      </c>
      <c r="N42" s="137" t="inlineStr">
        <is>
          <t>GOOGL</t>
        </is>
      </c>
      <c r="O42" s="156" t="n">
        <v>0.08528305654474656</v>
      </c>
      <c r="P42" s="157" t="n">
        <v>240.376</v>
      </c>
      <c r="Q42" s="146" t="n">
        <v>0</v>
      </c>
      <c r="R42" s="146" t="inlineStr"/>
      <c r="S42" s="142" t="inlineStr"/>
      <c r="T42" s="142" t="inlineStr">
        <is>
          <t>1-3 ตุลาคม 2568 — ซื้อวันที่ 1-3 ต.ค. 68 เวลา 22:03-00:20 น.</t>
        </is>
      </c>
      <c r="U42" s="142" t="inlineStr">
        <is>
          <t>USA STOCK HIS 2</t>
        </is>
      </c>
      <c r="V42" s="158" t="inlineStr">
        <is>
          <t>Confirmed</t>
        </is>
      </c>
      <c r="W42" s="146" t="n">
        <v>20.5</v>
      </c>
      <c r="X42" s="137" t="inlineStr">
        <is>
          <t>USD</t>
        </is>
      </c>
    </row>
    <row r="43">
      <c r="B43" s="153" t="inlineStr">
        <is>
          <t>TX-00038</t>
        </is>
      </c>
      <c r="C43" s="144" t="n">
        <v>45931</v>
      </c>
      <c r="D43" s="154" t="inlineStr"/>
      <c r="E43" s="137" t="inlineStr">
        <is>
          <t>Buy</t>
        </is>
      </c>
      <c r="F43" s="136" t="inlineStr">
        <is>
          <t>Dime FCD USD</t>
        </is>
      </c>
      <c r="G43" s="136" t="inlineStr">
        <is>
          <t>Dime US Stocks</t>
        </is>
      </c>
      <c r="H43" s="159" t="n">
        <v>7.5</v>
      </c>
      <c r="I43" s="137" t="inlineStr">
        <is>
          <t>USD</t>
        </is>
      </c>
      <c r="J43" s="155">
        <f>IFERROR(LOOKUP(2,1/(tblFX[Date]&lt;=[@Date]),tblFX[Rate]),XLOOKUP("CURRENT_FX_USDTHB",tblSettings[Key],tblSettings[Value]))</f>
        <v/>
      </c>
      <c r="K43" s="128">
        <f>H43*J43</f>
        <v/>
      </c>
      <c r="L43" s="137" t="inlineStr">
        <is>
          <t>Investment</t>
        </is>
      </c>
      <c r="M43" s="136" t="inlineStr">
        <is>
          <t>US Stocks</t>
        </is>
      </c>
      <c r="N43" s="137" t="inlineStr">
        <is>
          <t>LLY</t>
        </is>
      </c>
      <c r="O43" s="156" t="n">
        <v>0.009134644662322637</v>
      </c>
      <c r="P43" s="157" t="n">
        <v>821.05</v>
      </c>
      <c r="Q43" s="146" t="n">
        <v>0</v>
      </c>
      <c r="R43" s="146" t="inlineStr"/>
      <c r="S43" s="142" t="inlineStr"/>
      <c r="T43" s="142" t="inlineStr">
        <is>
          <t>1-3 ตุลาคม 2568 — ซื้อวันที่ 1-3 ต.ค. 68 เวลา 22:03-00:20 น.</t>
        </is>
      </c>
      <c r="U43" s="142" t="inlineStr">
        <is>
          <t>USA STOCK HIS 2</t>
        </is>
      </c>
      <c r="V43" s="158" t="inlineStr">
        <is>
          <t>Confirmed</t>
        </is>
      </c>
      <c r="W43" s="146" t="n">
        <v>7.5</v>
      </c>
      <c r="X43" s="137" t="inlineStr">
        <is>
          <t>USD</t>
        </is>
      </c>
    </row>
    <row r="44">
      <c r="B44" s="153" t="inlineStr">
        <is>
          <t>TX-00039</t>
        </is>
      </c>
      <c r="C44" s="144" t="n">
        <v>45931</v>
      </c>
      <c r="D44" s="154" t="inlineStr"/>
      <c r="E44" s="137" t="inlineStr">
        <is>
          <t>Buy</t>
        </is>
      </c>
      <c r="F44" s="136" t="inlineStr">
        <is>
          <t>Dime FCD USD</t>
        </is>
      </c>
      <c r="G44" s="136" t="inlineStr">
        <is>
          <t>Dime US Stocks</t>
        </is>
      </c>
      <c r="H44" s="159" t="n">
        <v>11.25</v>
      </c>
      <c r="I44" s="137" t="inlineStr">
        <is>
          <t>USD</t>
        </is>
      </c>
      <c r="J44" s="155">
        <f>IFERROR(LOOKUP(2,1/(tblFX[Date]&lt;=[@Date]),tblFX[Rate]),XLOOKUP("CURRENT_FX_USDTHB",tblSettings[Key],tblSettings[Value]))</f>
        <v/>
      </c>
      <c r="K44" s="128">
        <f>H44*J44</f>
        <v/>
      </c>
      <c r="L44" s="137" t="inlineStr">
        <is>
          <t>Investment</t>
        </is>
      </c>
      <c r="M44" s="136" t="inlineStr">
        <is>
          <t>US Stocks</t>
        </is>
      </c>
      <c r="N44" s="137" t="inlineStr">
        <is>
          <t>META</t>
        </is>
      </c>
      <c r="O44" s="156" t="n">
        <v>0.01561186001781834</v>
      </c>
      <c r="P44" s="157" t="n">
        <v>720.606</v>
      </c>
      <c r="Q44" s="146" t="n">
        <v>0</v>
      </c>
      <c r="R44" s="146" t="inlineStr"/>
      <c r="S44" s="142" t="inlineStr"/>
      <c r="T44" s="142" t="inlineStr">
        <is>
          <t>1-3 ตุลาคม 2568 — ซื้อวันที่ 1-3 ต.ค. 68 เวลา 22:03-00:20 น.</t>
        </is>
      </c>
      <c r="U44" s="142" t="inlineStr">
        <is>
          <t>USA STOCK HIS 2</t>
        </is>
      </c>
      <c r="V44" s="158" t="inlineStr">
        <is>
          <t>Confirmed</t>
        </is>
      </c>
      <c r="W44" s="146" t="n">
        <v>11.25</v>
      </c>
      <c r="X44" s="137" t="inlineStr">
        <is>
          <t>USD</t>
        </is>
      </c>
    </row>
    <row r="45">
      <c r="B45" s="153" t="inlineStr">
        <is>
          <t>TX-00040</t>
        </is>
      </c>
      <c r="C45" s="144" t="n">
        <v>45931</v>
      </c>
      <c r="D45" s="154" t="inlineStr"/>
      <c r="E45" s="137" t="inlineStr">
        <is>
          <t>Buy</t>
        </is>
      </c>
      <c r="F45" s="136" t="inlineStr">
        <is>
          <t>Dime FCD USD</t>
        </is>
      </c>
      <c r="G45" s="136" t="inlineStr">
        <is>
          <t>Dime US Stocks</t>
        </is>
      </c>
      <c r="H45" s="159" t="n">
        <v>4.38</v>
      </c>
      <c r="I45" s="137" t="inlineStr">
        <is>
          <t>USD</t>
        </is>
      </c>
      <c r="J45" s="155">
        <f>IFERROR(LOOKUP(2,1/(tblFX[Date]&lt;=[@Date]),tblFX[Rate]),XLOOKUP("CURRENT_FX_USDTHB",tblSettings[Key],tblSettings[Value]))</f>
        <v/>
      </c>
      <c r="K45" s="128">
        <f>H45*J45</f>
        <v/>
      </c>
      <c r="L45" s="137" t="inlineStr">
        <is>
          <t>Investment</t>
        </is>
      </c>
      <c r="M45" s="136" t="inlineStr">
        <is>
          <t>US Stocks</t>
        </is>
      </c>
      <c r="N45" s="137" t="inlineStr">
        <is>
          <t>MSFT</t>
        </is>
      </c>
      <c r="O45" s="156" t="n">
        <v>0.008515237998957953</v>
      </c>
      <c r="P45" s="157" t="n">
        <v>514.372</v>
      </c>
      <c r="Q45" s="146" t="n">
        <v>0</v>
      </c>
      <c r="R45" s="146" t="inlineStr"/>
      <c r="S45" s="142" t="inlineStr"/>
      <c r="T45" s="142" t="inlineStr">
        <is>
          <t>1-3 ตุลาคม 2568 — ซื้อวันที่ 1-3 ต.ค. 68 เวลา 22:03-00:20 น.</t>
        </is>
      </c>
      <c r="U45" s="142" t="inlineStr">
        <is>
          <t>USA STOCK HIS 2</t>
        </is>
      </c>
      <c r="V45" s="158" t="inlineStr">
        <is>
          <t>Confirmed</t>
        </is>
      </c>
      <c r="W45" s="146" t="n">
        <v>4.38</v>
      </c>
      <c r="X45" s="137" t="inlineStr">
        <is>
          <t>USD</t>
        </is>
      </c>
    </row>
    <row r="46">
      <c r="B46" s="153" t="inlineStr">
        <is>
          <t>TX-00041</t>
        </is>
      </c>
      <c r="C46" s="144" t="n">
        <v>45931</v>
      </c>
      <c r="D46" s="154" t="inlineStr"/>
      <c r="E46" s="137" t="inlineStr">
        <is>
          <t>Buy</t>
        </is>
      </c>
      <c r="F46" s="136" t="inlineStr">
        <is>
          <t>Dime FCD USD</t>
        </is>
      </c>
      <c r="G46" s="136" t="inlineStr">
        <is>
          <t>Dime US Stocks</t>
        </is>
      </c>
      <c r="H46" s="159" t="n">
        <v>13.75</v>
      </c>
      <c r="I46" s="137" t="inlineStr">
        <is>
          <t>USD</t>
        </is>
      </c>
      <c r="J46" s="155">
        <f>IFERROR(LOOKUP(2,1/(tblFX[Date]&lt;=[@Date]),tblFX[Rate]),XLOOKUP("CURRENT_FX_USDTHB",tblSettings[Key],tblSettings[Value]))</f>
        <v/>
      </c>
      <c r="K46" s="128">
        <f>H46*J46</f>
        <v/>
      </c>
      <c r="L46" s="137" t="inlineStr">
        <is>
          <t>Investment</t>
        </is>
      </c>
      <c r="M46" s="136" t="inlineStr">
        <is>
          <t>US Stocks</t>
        </is>
      </c>
      <c r="N46" s="137" t="inlineStr">
        <is>
          <t>NVDA</t>
        </is>
      </c>
      <c r="O46" s="156" t="n">
        <v>0.07274824346059426</v>
      </c>
      <c r="P46" s="157" t="n">
        <v>189.008</v>
      </c>
      <c r="Q46" s="146" t="n">
        <v>0</v>
      </c>
      <c r="R46" s="146" t="inlineStr"/>
      <c r="S46" s="142" t="inlineStr"/>
      <c r="T46" s="142" t="inlineStr">
        <is>
          <t>1-3 ตุลาคม 2568 — ซื้อวันที่ 1-3 ต.ค. 68 เวลา 22:03-00:20 น.</t>
        </is>
      </c>
      <c r="U46" s="142" t="inlineStr">
        <is>
          <t>USA STOCK HIS 2</t>
        </is>
      </c>
      <c r="V46" s="158" t="inlineStr">
        <is>
          <t>Confirmed</t>
        </is>
      </c>
      <c r="W46" s="146" t="n">
        <v>13.75</v>
      </c>
      <c r="X46" s="137" t="inlineStr">
        <is>
          <t>USD</t>
        </is>
      </c>
    </row>
    <row r="47">
      <c r="B47" s="153" t="inlineStr">
        <is>
          <t>TX-00042</t>
        </is>
      </c>
      <c r="C47" s="144" t="n">
        <v>45931</v>
      </c>
      <c r="D47" s="154" t="inlineStr"/>
      <c r="E47" s="137" t="inlineStr">
        <is>
          <t>Buy</t>
        </is>
      </c>
      <c r="F47" s="136" t="inlineStr">
        <is>
          <t>Dime FCD USD</t>
        </is>
      </c>
      <c r="G47" s="136" t="inlineStr">
        <is>
          <t>Dime US Stocks</t>
        </is>
      </c>
      <c r="H47" s="159" t="n">
        <v>13.75</v>
      </c>
      <c r="I47" s="137" t="inlineStr">
        <is>
          <t>USD</t>
        </is>
      </c>
      <c r="J47" s="155">
        <f>IFERROR(LOOKUP(2,1/(tblFX[Date]&lt;=[@Date]),tblFX[Rate]),XLOOKUP("CURRENT_FX_USDTHB",tblSettings[Key],tblSettings[Value]))</f>
        <v/>
      </c>
      <c r="K47" s="128">
        <f>H47*J47</f>
        <v/>
      </c>
      <c r="L47" s="137" t="inlineStr">
        <is>
          <t>Investment</t>
        </is>
      </c>
      <c r="M47" s="136" t="inlineStr">
        <is>
          <t>US Stocks</t>
        </is>
      </c>
      <c r="N47" s="137" t="inlineStr">
        <is>
          <t>SCHG</t>
        </is>
      </c>
      <c r="O47" s="156" t="n">
        <v>0.4279755976095618</v>
      </c>
      <c r="P47" s="157" t="n">
        <v>32.128</v>
      </c>
      <c r="Q47" s="146" t="n">
        <v>0</v>
      </c>
      <c r="R47" s="146" t="inlineStr"/>
      <c r="S47" s="142" t="inlineStr"/>
      <c r="T47" s="142" t="inlineStr">
        <is>
          <t>1-3 ตุลาคม 2568 — ซื้อวันที่ 1-3 ต.ค. 68 เวลา 22:03-00:20 น.</t>
        </is>
      </c>
      <c r="U47" s="142" t="inlineStr">
        <is>
          <t>USA STOCK HIS 2</t>
        </is>
      </c>
      <c r="V47" s="158" t="inlineStr">
        <is>
          <t>Confirmed</t>
        </is>
      </c>
      <c r="W47" s="146" t="n">
        <v>13.75</v>
      </c>
      <c r="X47" s="137" t="inlineStr">
        <is>
          <t>USD</t>
        </is>
      </c>
    </row>
    <row r="48">
      <c r="B48" s="153" t="inlineStr">
        <is>
          <t>TX-00043</t>
        </is>
      </c>
      <c r="C48" s="144" t="n">
        <v>45931</v>
      </c>
      <c r="D48" s="154" t="inlineStr"/>
      <c r="E48" s="137" t="inlineStr">
        <is>
          <t>Buy</t>
        </is>
      </c>
      <c r="F48" s="136" t="inlineStr">
        <is>
          <t>Dime FCD USD</t>
        </is>
      </c>
      <c r="G48" s="136" t="inlineStr">
        <is>
          <t>Dime US Stocks</t>
        </is>
      </c>
      <c r="H48" s="159" t="n">
        <v>15</v>
      </c>
      <c r="I48" s="137" t="inlineStr">
        <is>
          <t>USD</t>
        </is>
      </c>
      <c r="J48" s="155">
        <f>IFERROR(LOOKUP(2,1/(tblFX[Date]&lt;=[@Date]),tblFX[Rate]),XLOOKUP("CURRENT_FX_USDTHB",tblSettings[Key],tblSettings[Value]))</f>
        <v/>
      </c>
      <c r="K48" s="128">
        <f>H48*J48</f>
        <v/>
      </c>
      <c r="L48" s="137" t="inlineStr">
        <is>
          <t>Investment</t>
        </is>
      </c>
      <c r="M48" s="136" t="inlineStr">
        <is>
          <t>US Stocks</t>
        </is>
      </c>
      <c r="N48" s="137" t="inlineStr">
        <is>
          <t>UNH</t>
        </is>
      </c>
      <c r="O48" s="156" t="n">
        <v>0.04274697778867034</v>
      </c>
      <c r="P48" s="157" t="n">
        <v>350.902</v>
      </c>
      <c r="Q48" s="146" t="n">
        <v>0</v>
      </c>
      <c r="R48" s="146" t="inlineStr"/>
      <c r="S48" s="142" t="inlineStr"/>
      <c r="T48" s="142" t="inlineStr">
        <is>
          <t>1-3 ตุลาคม 2568 — ซื้อวันที่ 1-3 ต.ค. 68 เวลา 22:03-00:20 น.</t>
        </is>
      </c>
      <c r="U48" s="142" t="inlineStr">
        <is>
          <t>USA STOCK HIS 2</t>
        </is>
      </c>
      <c r="V48" s="158" t="inlineStr">
        <is>
          <t>Confirmed</t>
        </is>
      </c>
      <c r="W48" s="146" t="n">
        <v>15</v>
      </c>
      <c r="X48" s="137" t="inlineStr">
        <is>
          <t>USD</t>
        </is>
      </c>
    </row>
    <row r="49">
      <c r="B49" s="153" t="inlineStr">
        <is>
          <t>TX-00044</t>
        </is>
      </c>
      <c r="C49" s="144" t="n">
        <v>45931</v>
      </c>
      <c r="D49" s="154" t="inlineStr"/>
      <c r="E49" s="137" t="inlineStr">
        <is>
          <t>Buy</t>
        </is>
      </c>
      <c r="F49" s="136" t="inlineStr">
        <is>
          <t>Dime FCD USD</t>
        </is>
      </c>
      <c r="G49" s="136" t="inlineStr">
        <is>
          <t>Dime US Stocks</t>
        </is>
      </c>
      <c r="H49" s="159" t="n">
        <v>3.13</v>
      </c>
      <c r="I49" s="137" t="inlineStr">
        <is>
          <t>USD</t>
        </is>
      </c>
      <c r="J49" s="155">
        <f>IFERROR(LOOKUP(2,1/(tblFX[Date]&lt;=[@Date]),tblFX[Rate]),XLOOKUP("CURRENT_FX_USDTHB",tblSettings[Key],tblSettings[Value]))</f>
        <v/>
      </c>
      <c r="K49" s="128">
        <f>H49*J49</f>
        <v/>
      </c>
      <c r="L49" s="137" t="inlineStr">
        <is>
          <t>Investment</t>
        </is>
      </c>
      <c r="M49" s="136" t="inlineStr">
        <is>
          <t>US Stocks</t>
        </is>
      </c>
      <c r="N49" s="137" t="inlineStr">
        <is>
          <t>V</t>
        </is>
      </c>
      <c r="O49" s="156" t="n">
        <v>0.009050584962727782</v>
      </c>
      <c r="P49" s="157" t="n">
        <v>345.834</v>
      </c>
      <c r="Q49" s="146" t="n">
        <v>0</v>
      </c>
      <c r="R49" s="146" t="inlineStr"/>
      <c r="S49" s="142" t="inlineStr"/>
      <c r="T49" s="142" t="inlineStr">
        <is>
          <t>1-3 ตุลาคม 2568 — ซื้อวันที่ 1-3 ต.ค. 68 เวลา 22:03-00:20 น.</t>
        </is>
      </c>
      <c r="U49" s="142" t="inlineStr">
        <is>
          <t>USA STOCK HIS 2</t>
        </is>
      </c>
      <c r="V49" s="158" t="inlineStr">
        <is>
          <t>Confirmed</t>
        </is>
      </c>
      <c r="W49" s="146" t="n">
        <v>3.13</v>
      </c>
      <c r="X49" s="137" t="inlineStr">
        <is>
          <t>USD</t>
        </is>
      </c>
    </row>
    <row r="50">
      <c r="B50" s="153" t="inlineStr">
        <is>
          <t>TX-00045</t>
        </is>
      </c>
      <c r="C50" s="144" t="n">
        <v>45931</v>
      </c>
      <c r="D50" s="154" t="inlineStr"/>
      <c r="E50" s="137" t="inlineStr">
        <is>
          <t>PVD Contribution</t>
        </is>
      </c>
      <c r="F50" s="136" t="inlineStr">
        <is>
          <t>N/A</t>
        </is>
      </c>
      <c r="G50" s="136" t="inlineStr">
        <is>
          <t>PVD</t>
        </is>
      </c>
      <c r="H50" s="130" t="n">
        <v>2700</v>
      </c>
      <c r="I50" s="137" t="inlineStr">
        <is>
          <t>THB</t>
        </is>
      </c>
      <c r="J50" s="155" t="n">
        <v>1</v>
      </c>
      <c r="K50" s="128">
        <f>H50*J50</f>
        <v/>
      </c>
      <c r="L50" s="137" t="inlineStr">
        <is>
          <t>Investment</t>
        </is>
      </c>
      <c r="M50" s="136" t="inlineStr">
        <is>
          <t>PVD</t>
        </is>
      </c>
      <c r="N50" s="137" t="inlineStr">
        <is>
          <t>PVD</t>
        </is>
      </c>
      <c r="O50" s="156" t="inlineStr"/>
      <c r="P50" s="157" t="inlineStr"/>
      <c r="Q50" s="146" t="n">
        <v>0</v>
      </c>
      <c r="R50" s="146" t="inlineStr"/>
      <c r="S50" s="142" t="inlineStr">
        <is>
          <t>PVD Deduction (ลดหย่อนภาษี)</t>
        </is>
      </c>
      <c r="T50" s="142" t="inlineStr">
        <is>
          <t>เงินสะสมพนักงาน (หักจากเงินเดือนก่อนเข้าบัญชี) — ตุลาคม 2568</t>
        </is>
      </c>
      <c r="U50" s="142" t="inlineStr">
        <is>
          <t>PVD HIS (delta)</t>
        </is>
      </c>
      <c r="V50" s="158" t="inlineStr">
        <is>
          <t>Confirmed</t>
        </is>
      </c>
      <c r="W50" s="128" t="n">
        <v>2700</v>
      </c>
      <c r="X50" s="137" t="inlineStr">
        <is>
          <t>THB</t>
        </is>
      </c>
    </row>
    <row r="51">
      <c r="B51" s="153" t="inlineStr">
        <is>
          <t>TX-00046</t>
        </is>
      </c>
      <c r="C51" s="144" t="n">
        <v>45931</v>
      </c>
      <c r="D51" s="154" t="inlineStr"/>
      <c r="E51" s="137" t="inlineStr">
        <is>
          <t>PVD Employer</t>
        </is>
      </c>
      <c r="F51" s="136" t="inlineStr">
        <is>
          <t>N/A</t>
        </is>
      </c>
      <c r="G51" s="136" t="inlineStr">
        <is>
          <t>PVD</t>
        </is>
      </c>
      <c r="H51" s="130" t="n">
        <v>2160</v>
      </c>
      <c r="I51" s="137" t="inlineStr">
        <is>
          <t>THB</t>
        </is>
      </c>
      <c r="J51" s="155" t="n">
        <v>1</v>
      </c>
      <c r="K51" s="128">
        <f>H51*J51</f>
        <v/>
      </c>
      <c r="L51" s="137" t="inlineStr">
        <is>
          <t>Investment</t>
        </is>
      </c>
      <c r="M51" s="136" t="inlineStr">
        <is>
          <t>PVD</t>
        </is>
      </c>
      <c r="N51" s="137" t="inlineStr">
        <is>
          <t>PVD</t>
        </is>
      </c>
      <c r="O51" s="156" t="inlineStr"/>
      <c r="P51" s="157" t="inlineStr"/>
      <c r="Q51" s="146" t="n">
        <v>0</v>
      </c>
      <c r="R51" s="146" t="inlineStr"/>
      <c r="S51" s="142" t="inlineStr">
        <is>
          <t>Employer Contribution (ไม่เป็นเงินได้)</t>
        </is>
      </c>
      <c r="T51" s="142" t="inlineStr">
        <is>
          <t>เงินสมทบนายจ้าง — ตุลาคม 2568</t>
        </is>
      </c>
      <c r="U51" s="142" t="inlineStr">
        <is>
          <t>PVD HIS (delta)</t>
        </is>
      </c>
      <c r="V51" s="158" t="inlineStr">
        <is>
          <t>Confirmed</t>
        </is>
      </c>
      <c r="W51" s="128" t="n">
        <v>2160</v>
      </c>
      <c r="X51" s="137" t="inlineStr">
        <is>
          <t>THB</t>
        </is>
      </c>
    </row>
    <row r="52">
      <c r="B52" s="153" t="inlineStr">
        <is>
          <t>TX-00047</t>
        </is>
      </c>
      <c r="C52" s="144" t="n">
        <v>45932</v>
      </c>
      <c r="D52" s="154" t="inlineStr"/>
      <c r="E52" s="137" t="inlineStr">
        <is>
          <t>Buy</t>
        </is>
      </c>
      <c r="F52" s="136" t="inlineStr">
        <is>
          <t>Dime FCD USD</t>
        </is>
      </c>
      <c r="G52" s="136" t="inlineStr">
        <is>
          <t>Dime US Stocks</t>
        </is>
      </c>
      <c r="H52" s="159" t="n">
        <v>6.25</v>
      </c>
      <c r="I52" s="137" t="inlineStr">
        <is>
          <t>USD</t>
        </is>
      </c>
      <c r="J52" s="155">
        <f>IFERROR(LOOKUP(2,1/(tblFX[Date]&lt;=[@Date]),tblFX[Rate]),XLOOKUP("CURRENT_FX_USDTHB",tblSettings[Key],tblSettings[Value]))</f>
        <v/>
      </c>
      <c r="K52" s="128">
        <f>H52*J52</f>
        <v/>
      </c>
      <c r="L52" s="137" t="inlineStr">
        <is>
          <t>Investment</t>
        </is>
      </c>
      <c r="M52" s="136" t="inlineStr">
        <is>
          <t>US Stocks</t>
        </is>
      </c>
      <c r="N52" s="137" t="inlineStr">
        <is>
          <t>JEPQ</t>
        </is>
      </c>
      <c r="O52" s="156" t="n">
        <v>0.1090184</v>
      </c>
      <c r="P52" s="157" t="n">
        <v>57.238</v>
      </c>
      <c r="Q52" s="146" t="n">
        <v>0</v>
      </c>
      <c r="R52" s="146" t="inlineStr"/>
      <c r="S52" s="142" t="inlineStr"/>
      <c r="T52" s="142" t="inlineStr">
        <is>
          <t>2 ตุลาคม 2568 — ซื้อเวลา 23:49:47 น. (พบจากภาพ IMG_7038, IMG_5436)</t>
        </is>
      </c>
      <c r="U52" s="142" t="inlineStr">
        <is>
          <t>USA STOCK HIS 2</t>
        </is>
      </c>
      <c r="V52" s="158" t="inlineStr">
        <is>
          <t>Confirmed</t>
        </is>
      </c>
      <c r="W52" s="146" t="n">
        <v>6.25</v>
      </c>
      <c r="X52" s="137" t="inlineStr">
        <is>
          <t>USD</t>
        </is>
      </c>
    </row>
    <row r="53">
      <c r="B53" s="153" t="inlineStr">
        <is>
          <t>TX-00048</t>
        </is>
      </c>
      <c r="C53" s="144" t="n">
        <v>45933</v>
      </c>
      <c r="D53" s="154" t="inlineStr">
        <is>
          <t>00:24:35</t>
        </is>
      </c>
      <c r="E53" s="137" t="inlineStr">
        <is>
          <t>Buy</t>
        </is>
      </c>
      <c r="F53" s="136" t="inlineStr">
        <is>
          <t>Dime Save THB</t>
        </is>
      </c>
      <c r="G53" s="136" t="inlineStr">
        <is>
          <t>Dime Gold</t>
        </is>
      </c>
      <c r="H53" s="130" t="n">
        <v>1999.8</v>
      </c>
      <c r="I53" s="137" t="inlineStr">
        <is>
          <t>THB</t>
        </is>
      </c>
      <c r="J53" s="155" t="n">
        <v>1</v>
      </c>
      <c r="K53" s="128">
        <f>H53*J53</f>
        <v/>
      </c>
      <c r="L53" s="137" t="inlineStr">
        <is>
          <t>Investment</t>
        </is>
      </c>
      <c r="M53" s="136" t="inlineStr">
        <is>
          <t>Gold</t>
        </is>
      </c>
      <c r="N53" s="137" t="inlineStr">
        <is>
          <t>MTS-GOLD</t>
        </is>
      </c>
      <c r="O53" s="156" t="n">
        <v>0.0159</v>
      </c>
      <c r="P53" s="157" t="n">
        <v>3847.49</v>
      </c>
      <c r="Q53" s="146" t="n">
        <v>0</v>
      </c>
      <c r="R53" s="146" t="inlineStr"/>
      <c r="S53" s="142" t="inlineStr"/>
      <c r="T53" s="142" t="inlineStr"/>
      <c r="U53" s="142" t="inlineStr">
        <is>
          <t>Dime app IMG_7097-7102</t>
        </is>
      </c>
      <c r="V53" s="158" t="inlineStr">
        <is>
          <t>Confirmed</t>
        </is>
      </c>
      <c r="W53" s="146" t="n">
        <v>61.1751</v>
      </c>
      <c r="X53" s="137" t="inlineStr">
        <is>
          <t>USD</t>
        </is>
      </c>
    </row>
    <row r="54">
      <c r="B54" s="153" t="inlineStr">
        <is>
          <t>TX-00049</t>
        </is>
      </c>
      <c r="C54" s="144" t="n">
        <v>45938</v>
      </c>
      <c r="D54" s="154" t="inlineStr"/>
      <c r="E54" s="137" t="inlineStr">
        <is>
          <t>Buy</t>
        </is>
      </c>
      <c r="F54" s="136" t="inlineStr">
        <is>
          <t>Dime FCD USD</t>
        </is>
      </c>
      <c r="G54" s="136" t="inlineStr">
        <is>
          <t>Dime US Stocks</t>
        </is>
      </c>
      <c r="H54" s="159" t="n">
        <v>20</v>
      </c>
      <c r="I54" s="137" t="inlineStr">
        <is>
          <t>USD</t>
        </is>
      </c>
      <c r="J54" s="155">
        <f>IFERROR(LOOKUP(2,1/(tblFX[Date]&lt;=[@Date]),tblFX[Rate]),XLOOKUP("CURRENT_FX_USDTHB",tblSettings[Key],tblSettings[Value]))</f>
        <v/>
      </c>
      <c r="K54" s="128">
        <f>H54*J54</f>
        <v/>
      </c>
      <c r="L54" s="137" t="inlineStr">
        <is>
          <t>Investment</t>
        </is>
      </c>
      <c r="M54" s="136" t="inlineStr">
        <is>
          <t>US Stocks</t>
        </is>
      </c>
      <c r="N54" s="137" t="inlineStr">
        <is>
          <t>AAPL</t>
        </is>
      </c>
      <c r="O54" s="156" t="n">
        <v>0.08115170499732199</v>
      </c>
      <c r="P54" s="157" t="n">
        <v>246.452</v>
      </c>
      <c r="Q54" s="146" t="n">
        <v>0</v>
      </c>
      <c r="R54" s="146" t="inlineStr"/>
      <c r="S54" s="142" t="inlineStr"/>
      <c r="T54" s="142" t="inlineStr">
        <is>
          <t>8-21 ตุลาคม 2568 — ซื้อกระจายหลายวัน</t>
        </is>
      </c>
      <c r="U54" s="142" t="inlineStr">
        <is>
          <t>USA STOCK HIS 2</t>
        </is>
      </c>
      <c r="V54" s="158" t="inlineStr">
        <is>
          <t>Confirmed</t>
        </is>
      </c>
      <c r="W54" s="146" t="n">
        <v>20</v>
      </c>
      <c r="X54" s="137" t="inlineStr">
        <is>
          <t>USD</t>
        </is>
      </c>
    </row>
    <row r="55">
      <c r="B55" s="153" t="inlineStr">
        <is>
          <t>TX-00050</t>
        </is>
      </c>
      <c r="C55" s="144" t="n">
        <v>45938</v>
      </c>
      <c r="D55" s="154" t="inlineStr"/>
      <c r="E55" s="137" t="inlineStr">
        <is>
          <t>Buy</t>
        </is>
      </c>
      <c r="F55" s="136" t="inlineStr">
        <is>
          <t>Dime FCD USD</t>
        </is>
      </c>
      <c r="G55" s="136" t="inlineStr">
        <is>
          <t>Dime US Stocks</t>
        </is>
      </c>
      <c r="H55" s="159" t="n">
        <v>12.9171</v>
      </c>
      <c r="I55" s="137" t="inlineStr">
        <is>
          <t>USD</t>
        </is>
      </c>
      <c r="J55" s="155">
        <f>IFERROR(LOOKUP(2,1/(tblFX[Date]&lt;=[@Date]),tblFX[Rate]),XLOOKUP("CURRENT_FX_USDTHB",tblSettings[Key],tblSettings[Value]))</f>
        <v/>
      </c>
      <c r="K55" s="128">
        <f>H55*J55</f>
        <v/>
      </c>
      <c r="L55" s="137" t="inlineStr">
        <is>
          <t>Investment</t>
        </is>
      </c>
      <c r="M55" s="136" t="inlineStr">
        <is>
          <t>US Stocks</t>
        </is>
      </c>
      <c r="N55" s="137" t="inlineStr">
        <is>
          <t>AMPX</t>
        </is>
      </c>
      <c r="O55" s="156" t="n">
        <v>1</v>
      </c>
      <c r="P55" s="157" t="n">
        <v>12.9171</v>
      </c>
      <c r="Q55" s="146" t="n">
        <v>0</v>
      </c>
      <c r="R55" s="146" t="inlineStr"/>
      <c r="S55" s="142" t="inlineStr"/>
      <c r="T55" s="142" t="inlineStr">
        <is>
          <t>8-21 ตุลาคม 2568 — ซื้อกระจายหลายวัน</t>
        </is>
      </c>
      <c r="U55" s="142" t="inlineStr">
        <is>
          <t>USA STOCK HIS 2</t>
        </is>
      </c>
      <c r="V55" s="158" t="inlineStr">
        <is>
          <t>Confirmed</t>
        </is>
      </c>
      <c r="W55" s="146" t="n">
        <v>12.9171</v>
      </c>
      <c r="X55" s="137" t="inlineStr">
        <is>
          <t>USD</t>
        </is>
      </c>
    </row>
    <row r="56">
      <c r="B56" s="153" t="inlineStr">
        <is>
          <t>TX-00051</t>
        </is>
      </c>
      <c r="C56" s="144" t="n">
        <v>45938</v>
      </c>
      <c r="D56" s="154" t="inlineStr"/>
      <c r="E56" s="137" t="inlineStr">
        <is>
          <t>Buy</t>
        </is>
      </c>
      <c r="F56" s="136" t="inlineStr">
        <is>
          <t>Dime FCD USD</t>
        </is>
      </c>
      <c r="G56" s="136" t="inlineStr">
        <is>
          <t>Dime US Stocks</t>
        </is>
      </c>
      <c r="H56" s="159" t="n">
        <v>10.5</v>
      </c>
      <c r="I56" s="137" t="inlineStr">
        <is>
          <t>USD</t>
        </is>
      </c>
      <c r="J56" s="155">
        <f>IFERROR(LOOKUP(2,1/(tblFX[Date]&lt;=[@Date]),tblFX[Rate]),XLOOKUP("CURRENT_FX_USDTHB",tblSettings[Key],tblSettings[Value]))</f>
        <v/>
      </c>
      <c r="K56" s="128">
        <f>H56*J56</f>
        <v/>
      </c>
      <c r="L56" s="137" t="inlineStr">
        <is>
          <t>Investment</t>
        </is>
      </c>
      <c r="M56" s="136" t="inlineStr">
        <is>
          <t>US Stocks</t>
        </is>
      </c>
      <c r="N56" s="137" t="inlineStr">
        <is>
          <t>PRCT</t>
        </is>
      </c>
      <c r="O56" s="156" t="n">
        <v>0.3058727569331158</v>
      </c>
      <c r="P56" s="157" t="n">
        <v>34.328</v>
      </c>
      <c r="Q56" s="146" t="n">
        <v>0</v>
      </c>
      <c r="R56" s="146" t="inlineStr"/>
      <c r="S56" s="142" t="inlineStr"/>
      <c r="T56" s="142" t="inlineStr">
        <is>
          <t>8-21 ตุลาคม 2568 — ซื้อกระจายหลายวัน</t>
        </is>
      </c>
      <c r="U56" s="142" t="inlineStr">
        <is>
          <t>USA STOCK HIS 2</t>
        </is>
      </c>
      <c r="V56" s="158" t="inlineStr">
        <is>
          <t>Confirmed</t>
        </is>
      </c>
      <c r="W56" s="146" t="n">
        <v>10.5</v>
      </c>
      <c r="X56" s="137" t="inlineStr">
        <is>
          <t>USD</t>
        </is>
      </c>
    </row>
    <row r="57">
      <c r="B57" s="153" t="inlineStr">
        <is>
          <t>TX-00052</t>
        </is>
      </c>
      <c r="C57" s="144" t="n">
        <v>45940</v>
      </c>
      <c r="D57" s="154" t="inlineStr">
        <is>
          <t>08:48:10</t>
        </is>
      </c>
      <c r="E57" s="137" t="inlineStr">
        <is>
          <t>Buy</t>
        </is>
      </c>
      <c r="F57" s="136" t="inlineStr">
        <is>
          <t>Dime FCD USD</t>
        </is>
      </c>
      <c r="G57" s="136" t="inlineStr">
        <is>
          <t>Dime Gold</t>
        </is>
      </c>
      <c r="H57" s="159" t="n">
        <v>9.949999999999999</v>
      </c>
      <c r="I57" s="137" t="inlineStr">
        <is>
          <t>USD</t>
        </is>
      </c>
      <c r="J57" s="155">
        <f>IFERROR(LOOKUP(2,1/(tblFX[Date]&lt;=[@Date]),tblFX[Rate]),XLOOKUP("CURRENT_FX_USDTHB",tblSettings[Key],tblSettings[Value]))</f>
        <v/>
      </c>
      <c r="K57" s="128">
        <f>H57*J57</f>
        <v/>
      </c>
      <c r="L57" s="137" t="inlineStr">
        <is>
          <t>Investment</t>
        </is>
      </c>
      <c r="M57" s="136" t="inlineStr">
        <is>
          <t>Gold</t>
        </is>
      </c>
      <c r="N57" s="137" t="inlineStr">
        <is>
          <t>MTS-GOLD</t>
        </is>
      </c>
      <c r="O57" s="156" t="n">
        <v>0.0025</v>
      </c>
      <c r="P57" s="157" t="n">
        <v>3980.32</v>
      </c>
      <c r="Q57" s="146" t="n">
        <v>0</v>
      </c>
      <c r="R57" s="146" t="inlineStr"/>
      <c r="S57" s="142" t="inlineStr"/>
      <c r="T57" s="142" t="inlineStr"/>
      <c r="U57" s="142" t="inlineStr">
        <is>
          <t>Dime app IMG_7097-7102</t>
        </is>
      </c>
      <c r="V57" s="158" t="inlineStr">
        <is>
          <t>Confirmed</t>
        </is>
      </c>
      <c r="W57" s="146" t="n">
        <v>9.949999999999999</v>
      </c>
      <c r="X57" s="137" t="inlineStr">
        <is>
          <t>USD</t>
        </is>
      </c>
    </row>
    <row r="58">
      <c r="B58" s="153" t="inlineStr">
        <is>
          <t>TX-00053</t>
        </is>
      </c>
      <c r="C58" s="144" t="n">
        <v>45946</v>
      </c>
      <c r="D58" s="154" t="inlineStr">
        <is>
          <t>22:07:26</t>
        </is>
      </c>
      <c r="E58" s="137" t="inlineStr">
        <is>
          <t>Buy</t>
        </is>
      </c>
      <c r="F58" s="136" t="inlineStr">
        <is>
          <t>Dime FCD USD</t>
        </is>
      </c>
      <c r="G58" s="136" t="inlineStr">
        <is>
          <t>Dime Gold</t>
        </is>
      </c>
      <c r="H58" s="159" t="n">
        <v>9.82</v>
      </c>
      <c r="I58" s="137" t="inlineStr">
        <is>
          <t>USD</t>
        </is>
      </c>
      <c r="J58" s="155">
        <f>IFERROR(LOOKUP(2,1/(tblFX[Date]&lt;=[@Date]),tblFX[Rate]),XLOOKUP("CURRENT_FX_USDTHB",tblSettings[Key],tblSettings[Value]))</f>
        <v/>
      </c>
      <c r="K58" s="128">
        <f>H58*J58</f>
        <v/>
      </c>
      <c r="L58" s="137" t="inlineStr">
        <is>
          <t>Investment</t>
        </is>
      </c>
      <c r="M58" s="136" t="inlineStr">
        <is>
          <t>Gold</t>
        </is>
      </c>
      <c r="N58" s="137" t="inlineStr">
        <is>
          <t>MTS-GOLD</t>
        </is>
      </c>
      <c r="O58" s="156" t="n">
        <v>0.0023</v>
      </c>
      <c r="P58" s="157" t="n">
        <v>4268.83</v>
      </c>
      <c r="Q58" s="146" t="n">
        <v>0</v>
      </c>
      <c r="R58" s="146" t="inlineStr"/>
      <c r="S58" s="142" t="inlineStr"/>
      <c r="T58" s="142" t="inlineStr"/>
      <c r="U58" s="142" t="inlineStr">
        <is>
          <t>Dime app IMG_7097-7102</t>
        </is>
      </c>
      <c r="V58" s="158" t="inlineStr">
        <is>
          <t>Confirmed</t>
        </is>
      </c>
      <c r="W58" s="146" t="n">
        <v>9.82</v>
      </c>
      <c r="X58" s="137" t="inlineStr">
        <is>
          <t>USD</t>
        </is>
      </c>
    </row>
    <row r="59">
      <c r="B59" s="153" t="inlineStr">
        <is>
          <t>TX-00054</t>
        </is>
      </c>
      <c r="C59" s="144" t="n">
        <v>45951</v>
      </c>
      <c r="D59" s="154" t="inlineStr"/>
      <c r="E59" s="137" t="inlineStr">
        <is>
          <t>Buy</t>
        </is>
      </c>
      <c r="F59" s="136" t="inlineStr">
        <is>
          <t>Dime FCD USD</t>
        </is>
      </c>
      <c r="G59" s="136" t="inlineStr">
        <is>
          <t>Dime US Stocks</t>
        </is>
      </c>
      <c r="H59" s="159" t="n">
        <v>120</v>
      </c>
      <c r="I59" s="137" t="inlineStr">
        <is>
          <t>USD</t>
        </is>
      </c>
      <c r="J59" s="155">
        <f>IFERROR(LOOKUP(2,1/(tblFX[Date]&lt;=[@Date]),tblFX[Rate]),XLOOKUP("CURRENT_FX_USDTHB",tblSettings[Key],tblSettings[Value]))</f>
        <v/>
      </c>
      <c r="K59" s="128">
        <f>H59*J59</f>
        <v/>
      </c>
      <c r="L59" s="137" t="inlineStr">
        <is>
          <t>Investment</t>
        </is>
      </c>
      <c r="M59" s="136" t="inlineStr">
        <is>
          <t>US Stocks</t>
        </is>
      </c>
      <c r="N59" s="137" t="inlineStr">
        <is>
          <t>GOOGL</t>
        </is>
      </c>
      <c r="O59" s="156" t="n">
        <v>0.4864246974033028</v>
      </c>
      <c r="P59" s="157" t="n">
        <v>246.698</v>
      </c>
      <c r="Q59" s="146" t="n">
        <v>0</v>
      </c>
      <c r="R59" s="146" t="inlineStr"/>
      <c r="S59" s="142" t="inlineStr"/>
      <c r="T59" s="142" t="inlineStr">
        <is>
          <t>21 ตุลาคม 2568 (ช่วงค่ำ) — ซื้อวันที่ 21 ต.ค. 68 เวลา 22:34-22:37 น.</t>
        </is>
      </c>
      <c r="U59" s="142" t="inlineStr">
        <is>
          <t>USA STOCK HIS 2</t>
        </is>
      </c>
      <c r="V59" s="158" t="inlineStr">
        <is>
          <t>Confirmed</t>
        </is>
      </c>
      <c r="W59" s="146" t="n">
        <v>120</v>
      </c>
      <c r="X59" s="137" t="inlineStr">
        <is>
          <t>USD</t>
        </is>
      </c>
    </row>
    <row r="60">
      <c r="B60" s="153" t="inlineStr">
        <is>
          <t>TX-00055</t>
        </is>
      </c>
      <c r="C60" s="144" t="n">
        <v>45951</v>
      </c>
      <c r="D60" s="154" t="inlineStr"/>
      <c r="E60" s="137" t="inlineStr">
        <is>
          <t>Buy</t>
        </is>
      </c>
      <c r="F60" s="136" t="inlineStr">
        <is>
          <t>Dime FCD USD</t>
        </is>
      </c>
      <c r="G60" s="136" t="inlineStr">
        <is>
          <t>Dime US Stocks</t>
        </is>
      </c>
      <c r="H60" s="159" t="n">
        <v>70</v>
      </c>
      <c r="I60" s="137" t="inlineStr">
        <is>
          <t>USD</t>
        </is>
      </c>
      <c r="J60" s="155">
        <f>IFERROR(LOOKUP(2,1/(tblFX[Date]&lt;=[@Date]),tblFX[Rate]),XLOOKUP("CURRENT_FX_USDTHB",tblSettings[Key],tblSettings[Value]))</f>
        <v/>
      </c>
      <c r="K60" s="128">
        <f>H60*J60</f>
        <v/>
      </c>
      <c r="L60" s="137" t="inlineStr">
        <is>
          <t>Investment</t>
        </is>
      </c>
      <c r="M60" s="136" t="inlineStr">
        <is>
          <t>US Stocks</t>
        </is>
      </c>
      <c r="N60" s="137" t="inlineStr">
        <is>
          <t>MSFT</t>
        </is>
      </c>
      <c r="O60" s="156" t="n">
        <v>0.135626322356643</v>
      </c>
      <c r="P60" s="157" t="n">
        <v>516.124</v>
      </c>
      <c r="Q60" s="146" t="n">
        <v>0</v>
      </c>
      <c r="R60" s="146" t="inlineStr"/>
      <c r="S60" s="142" t="inlineStr"/>
      <c r="T60" s="142" t="inlineStr">
        <is>
          <t>21 ตุลาคม 2568 (ช่วงค่ำ) — ซื้อวันที่ 21 ต.ค. 68 เวลา 22:34-22:37 น.</t>
        </is>
      </c>
      <c r="U60" s="142" t="inlineStr">
        <is>
          <t>USA STOCK HIS 2</t>
        </is>
      </c>
      <c r="V60" s="158" t="inlineStr">
        <is>
          <t>Confirmed</t>
        </is>
      </c>
      <c r="W60" s="146" t="n">
        <v>70</v>
      </c>
      <c r="X60" s="137" t="inlineStr">
        <is>
          <t>USD</t>
        </is>
      </c>
    </row>
    <row r="61">
      <c r="B61" s="153" t="inlineStr">
        <is>
          <t>TX-00056</t>
        </is>
      </c>
      <c r="C61" s="144" t="n">
        <v>45951</v>
      </c>
      <c r="D61" s="154" t="inlineStr"/>
      <c r="E61" s="137" t="inlineStr">
        <is>
          <t>Buy</t>
        </is>
      </c>
      <c r="F61" s="136" t="inlineStr">
        <is>
          <t>Dime FCD USD</t>
        </is>
      </c>
      <c r="G61" s="136" t="inlineStr">
        <is>
          <t>Dime US Stocks</t>
        </is>
      </c>
      <c r="H61" s="159" t="n">
        <v>34.8679</v>
      </c>
      <c r="I61" s="137" t="inlineStr">
        <is>
          <t>USD</t>
        </is>
      </c>
      <c r="J61" s="155">
        <f>IFERROR(LOOKUP(2,1/(tblFX[Date]&lt;=[@Date]),tblFX[Rate]),XLOOKUP("CURRENT_FX_USDTHB",tblSettings[Key],tblSettings[Value]))</f>
        <v/>
      </c>
      <c r="K61" s="128">
        <f>H61*J61</f>
        <v/>
      </c>
      <c r="L61" s="137" t="inlineStr">
        <is>
          <t>Investment</t>
        </is>
      </c>
      <c r="M61" s="136" t="inlineStr">
        <is>
          <t>US Stocks</t>
        </is>
      </c>
      <c r="N61" s="137" t="inlineStr">
        <is>
          <t>PRCT</t>
        </is>
      </c>
      <c r="O61" s="156" t="n">
        <v>1</v>
      </c>
      <c r="P61" s="157" t="n">
        <v>34.8679</v>
      </c>
      <c r="Q61" s="146" t="n">
        <v>0</v>
      </c>
      <c r="R61" s="146" t="inlineStr"/>
      <c r="S61" s="142" t="inlineStr"/>
      <c r="T61" s="142" t="inlineStr">
        <is>
          <t>21 ตุลาคม 2568 (ช่วงค่ำ) — ซื้อวันที่ 21 ต.ค. 68 เวลา 22:34-22:37 น.</t>
        </is>
      </c>
      <c r="U61" s="142" t="inlineStr">
        <is>
          <t>USA STOCK HIS 2</t>
        </is>
      </c>
      <c r="V61" s="158" t="inlineStr">
        <is>
          <t>Confirmed</t>
        </is>
      </c>
      <c r="W61" s="146" t="n">
        <v>34.8679</v>
      </c>
      <c r="X61" s="137" t="inlineStr">
        <is>
          <t>USD</t>
        </is>
      </c>
    </row>
    <row r="62">
      <c r="B62" s="153" t="inlineStr">
        <is>
          <t>TX-00057</t>
        </is>
      </c>
      <c r="C62" s="144" t="n">
        <v>45951</v>
      </c>
      <c r="D62" s="154" t="inlineStr"/>
      <c r="E62" s="137" t="inlineStr">
        <is>
          <t>Buy</t>
        </is>
      </c>
      <c r="F62" s="136" t="inlineStr">
        <is>
          <t>Dime FCD USD</t>
        </is>
      </c>
      <c r="G62" s="136" t="inlineStr">
        <is>
          <t>Dime US Stocks</t>
        </is>
      </c>
      <c r="H62" s="159" t="n">
        <v>64.70999999999999</v>
      </c>
      <c r="I62" s="137" t="inlineStr">
        <is>
          <t>USD</t>
        </is>
      </c>
      <c r="J62" s="155">
        <f>IFERROR(LOOKUP(2,1/(tblFX[Date]&lt;=[@Date]),tblFX[Rate]),XLOOKUP("CURRENT_FX_USDTHB",tblSettings[Key],tblSettings[Value]))</f>
        <v/>
      </c>
      <c r="K62" s="128">
        <f>H62*J62</f>
        <v/>
      </c>
      <c r="L62" s="137" t="inlineStr">
        <is>
          <t>Investment</t>
        </is>
      </c>
      <c r="M62" s="136" t="inlineStr">
        <is>
          <t>US Stocks</t>
        </is>
      </c>
      <c r="N62" s="137" t="inlineStr">
        <is>
          <t>SCHG</t>
        </is>
      </c>
      <c r="O62" s="156" t="n">
        <v>2</v>
      </c>
      <c r="P62" s="157" t="n">
        <v>32.355</v>
      </c>
      <c r="Q62" s="146" t="n">
        <v>0</v>
      </c>
      <c r="R62" s="146" t="inlineStr"/>
      <c r="S62" s="142" t="inlineStr"/>
      <c r="T62" s="142" t="inlineStr">
        <is>
          <t>21 ตุลาคม 2568 (ช่วงค่ำ) — ซื้อวันที่ 21 ต.ค. 68 เวลา 22:34-22:37 น.</t>
        </is>
      </c>
      <c r="U62" s="142" t="inlineStr">
        <is>
          <t>USA STOCK HIS 2</t>
        </is>
      </c>
      <c r="V62" s="158" t="inlineStr">
        <is>
          <t>Confirmed</t>
        </is>
      </c>
      <c r="W62" s="146" t="n">
        <v>64.70999999999999</v>
      </c>
      <c r="X62" s="137" t="inlineStr">
        <is>
          <t>USD</t>
        </is>
      </c>
    </row>
    <row r="63">
      <c r="B63" s="153" t="inlineStr">
        <is>
          <t>TX-00058</t>
        </is>
      </c>
      <c r="C63" s="144" t="n">
        <v>45951</v>
      </c>
      <c r="D63" s="154" t="inlineStr"/>
      <c r="E63" s="137" t="inlineStr">
        <is>
          <t>Buy</t>
        </is>
      </c>
      <c r="F63" s="136" t="inlineStr">
        <is>
          <t>Dime FCD USD</t>
        </is>
      </c>
      <c r="G63" s="136" t="inlineStr">
        <is>
          <t>Dime US Stocks</t>
        </is>
      </c>
      <c r="H63" s="159" t="n">
        <v>80</v>
      </c>
      <c r="I63" s="137" t="inlineStr">
        <is>
          <t>USD</t>
        </is>
      </c>
      <c r="J63" s="155">
        <f>IFERROR(LOOKUP(2,1/(tblFX[Date]&lt;=[@Date]),tblFX[Rate]),XLOOKUP("CURRENT_FX_USDTHB",tblSettings[Key],tblSettings[Value]))</f>
        <v/>
      </c>
      <c r="K63" s="128">
        <f>H63*J63</f>
        <v/>
      </c>
      <c r="L63" s="137" t="inlineStr">
        <is>
          <t>Investment</t>
        </is>
      </c>
      <c r="M63" s="136" t="inlineStr">
        <is>
          <t>US Stocks</t>
        </is>
      </c>
      <c r="N63" s="137" t="inlineStr">
        <is>
          <t>UNH</t>
        </is>
      </c>
      <c r="O63" s="156" t="n">
        <v>0.217419663434361</v>
      </c>
      <c r="P63" s="157" t="n">
        <v>367.952</v>
      </c>
      <c r="Q63" s="146" t="n">
        <v>0</v>
      </c>
      <c r="R63" s="146" t="inlineStr"/>
      <c r="S63" s="142" t="inlineStr"/>
      <c r="T63" s="142" t="inlineStr">
        <is>
          <t>21 ตุลาคม 2568 (ช่วงค่ำ) — ซื้อวันที่ 21 ต.ค. 68 เวลา 22:34-22:37 น.</t>
        </is>
      </c>
      <c r="U63" s="142" t="inlineStr">
        <is>
          <t>USA STOCK HIS 2</t>
        </is>
      </c>
      <c r="V63" s="158" t="inlineStr">
        <is>
          <t>Confirmed</t>
        </is>
      </c>
      <c r="W63" s="146" t="n">
        <v>80</v>
      </c>
      <c r="X63" s="137" t="inlineStr">
        <is>
          <t>USD</t>
        </is>
      </c>
    </row>
    <row r="64">
      <c r="B64" s="153" t="inlineStr">
        <is>
          <t>TX-00059</t>
        </is>
      </c>
      <c r="C64" s="144" t="n">
        <v>45951</v>
      </c>
      <c r="D64" s="154" t="inlineStr"/>
      <c r="E64" s="137" t="inlineStr">
        <is>
          <t>Sell</t>
        </is>
      </c>
      <c r="F64" s="136" t="inlineStr">
        <is>
          <t>Dime US Stocks</t>
        </is>
      </c>
      <c r="G64" s="136" t="inlineStr">
        <is>
          <t>Dime FCD USD</t>
        </is>
      </c>
      <c r="H64" s="159" t="n">
        <v>411.989</v>
      </c>
      <c r="I64" s="137" t="inlineStr">
        <is>
          <t>USD</t>
        </is>
      </c>
      <c r="J64" s="155">
        <f>IFERROR(LOOKUP(2,1/(tblFX[Date]&lt;=[@Date]),tblFX[Rate]),XLOOKUP("CURRENT_FX_USDTHB",tblSettings[Key],tblSettings[Value]))</f>
        <v/>
      </c>
      <c r="K64" s="128">
        <f>H64*J64</f>
        <v/>
      </c>
      <c r="L64" s="137" t="inlineStr">
        <is>
          <t>Investment</t>
        </is>
      </c>
      <c r="M64" s="136" t="inlineStr">
        <is>
          <t>US Stocks</t>
        </is>
      </c>
      <c r="N64" s="137" t="inlineStr">
        <is>
          <t>JEPQ</t>
        </is>
      </c>
      <c r="O64" s="156" t="n">
        <v>7.10902</v>
      </c>
      <c r="P64" s="157" t="n">
        <v>57.953</v>
      </c>
      <c r="Q64" s="146" t="n">
        <v>0</v>
      </c>
      <c r="R64" s="146" t="n">
        <v>17.668</v>
      </c>
      <c r="S64" s="142" t="inlineStr">
        <is>
          <t>Foreign Capital Gain</t>
        </is>
      </c>
      <c r="T64" s="142" t="inlineStr">
        <is>
          <t>ขายทั้งจำนวน avg cost $55.4677</t>
        </is>
      </c>
      <c r="U64" s="142" t="inlineStr">
        <is>
          <t>USA STOCK HIS 2</t>
        </is>
      </c>
      <c r="V64" s="158" t="inlineStr">
        <is>
          <t>Confirmed</t>
        </is>
      </c>
      <c r="W64" s="146" t="n">
        <v>411.989</v>
      </c>
      <c r="X64" s="137" t="inlineStr">
        <is>
          <t>USD</t>
        </is>
      </c>
    </row>
    <row r="65">
      <c r="B65" s="153" t="inlineStr">
        <is>
          <t>TX-00060</t>
        </is>
      </c>
      <c r="C65" s="144" t="n">
        <v>45958</v>
      </c>
      <c r="D65" s="154" t="inlineStr">
        <is>
          <t>13:48:54</t>
        </is>
      </c>
      <c r="E65" s="137" t="inlineStr">
        <is>
          <t>Sell</t>
        </is>
      </c>
      <c r="F65" s="136" t="inlineStr">
        <is>
          <t>Dime Gold</t>
        </is>
      </c>
      <c r="G65" s="136" t="inlineStr">
        <is>
          <t>Dime FCD USD</t>
        </is>
      </c>
      <c r="H65" s="159" t="n">
        <v>122.67</v>
      </c>
      <c r="I65" s="137" t="inlineStr">
        <is>
          <t>USD</t>
        </is>
      </c>
      <c r="J65" s="155">
        <f>IFERROR(LOOKUP(2,1/(tblFX[Date]&lt;=[@Date]),tblFX[Rate]),XLOOKUP("CURRENT_FX_USDTHB",tblSettings[Key],tblSettings[Value]))</f>
        <v/>
      </c>
      <c r="K65" s="128">
        <f>H65*J65</f>
        <v/>
      </c>
      <c r="L65" s="137" t="inlineStr">
        <is>
          <t>Investment</t>
        </is>
      </c>
      <c r="M65" s="136" t="inlineStr">
        <is>
          <t>Gold</t>
        </is>
      </c>
      <c r="N65" s="137" t="inlineStr">
        <is>
          <t>MTS-GOLD</t>
        </is>
      </c>
      <c r="O65" s="156" t="n">
        <v>0.0311</v>
      </c>
      <c r="P65" s="157" t="n">
        <v>3944.48</v>
      </c>
      <c r="Q65" s="146" t="n">
        <v>0</v>
      </c>
      <c r="R65" s="146" t="n">
        <v>2.0936</v>
      </c>
      <c r="S65" s="142" t="inlineStr">
        <is>
          <t>Foreign Capital Gain</t>
        </is>
      </c>
      <c r="T65" s="142" t="inlineStr"/>
      <c r="U65" s="142" t="inlineStr">
        <is>
          <t>Dime app IMG_7097-7102</t>
        </is>
      </c>
      <c r="V65" s="158" t="inlineStr">
        <is>
          <t>Confirmed</t>
        </is>
      </c>
      <c r="W65" s="146" t="n">
        <v>122.67</v>
      </c>
      <c r="X65" s="137" t="inlineStr">
        <is>
          <t>USD</t>
        </is>
      </c>
    </row>
    <row r="66">
      <c r="B66" s="153" t="inlineStr">
        <is>
          <t>TX-00061</t>
        </is>
      </c>
      <c r="C66" s="144" t="n">
        <v>45960</v>
      </c>
      <c r="D66" s="154" t="inlineStr"/>
      <c r="E66" s="137" t="inlineStr">
        <is>
          <t>Buy</t>
        </is>
      </c>
      <c r="F66" s="136" t="inlineStr">
        <is>
          <t>Dime FCD USD</t>
        </is>
      </c>
      <c r="G66" s="136" t="inlineStr">
        <is>
          <t>Dime US Stocks</t>
        </is>
      </c>
      <c r="H66" s="159" t="n">
        <v>5</v>
      </c>
      <c r="I66" s="137" t="inlineStr">
        <is>
          <t>USD</t>
        </is>
      </c>
      <c r="J66" s="155">
        <f>IFERROR(LOOKUP(2,1/(tblFX[Date]&lt;=[@Date]),tblFX[Rate]),XLOOKUP("CURRENT_FX_USDTHB",tblSettings[Key],tblSettings[Value]))</f>
        <v/>
      </c>
      <c r="K66" s="128">
        <f>H66*J66</f>
        <v/>
      </c>
      <c r="L66" s="137" t="inlineStr">
        <is>
          <t>Investment</t>
        </is>
      </c>
      <c r="M66" s="136" t="inlineStr">
        <is>
          <t>US Stocks</t>
        </is>
      </c>
      <c r="N66" s="137" t="inlineStr">
        <is>
          <t>LLY</t>
        </is>
      </c>
      <c r="O66" s="156" t="n">
        <v>0.005902490851139181</v>
      </c>
      <c r="P66" s="157" t="n">
        <v>847.1</v>
      </c>
      <c r="Q66" s="146" t="n">
        <v>0</v>
      </c>
      <c r="R66" s="146" t="inlineStr"/>
      <c r="S66" s="142" t="inlineStr"/>
      <c r="T66" s="142" t="inlineStr">
        <is>
          <t>30 ตุลาคม 2568 — ซื้อวันที่ 30 ต.ค. 68 เวลา 23:18-23:34 น.</t>
        </is>
      </c>
      <c r="U66" s="142" t="inlineStr">
        <is>
          <t>USA STOCK HIS 2</t>
        </is>
      </c>
      <c r="V66" s="158" t="inlineStr">
        <is>
          <t>Confirmed</t>
        </is>
      </c>
      <c r="W66" s="146" t="n">
        <v>5</v>
      </c>
      <c r="X66" s="137" t="inlineStr">
        <is>
          <t>USD</t>
        </is>
      </c>
    </row>
    <row r="67">
      <c r="B67" s="153" t="inlineStr">
        <is>
          <t>TX-00062</t>
        </is>
      </c>
      <c r="C67" s="144" t="n">
        <v>45960</v>
      </c>
      <c r="D67" s="154" t="inlineStr"/>
      <c r="E67" s="137" t="inlineStr">
        <is>
          <t>Buy</t>
        </is>
      </c>
      <c r="F67" s="136" t="inlineStr">
        <is>
          <t>Dime FCD USD</t>
        </is>
      </c>
      <c r="G67" s="136" t="inlineStr">
        <is>
          <t>Dime US Stocks</t>
        </is>
      </c>
      <c r="H67" s="159" t="n">
        <v>20</v>
      </c>
      <c r="I67" s="137" t="inlineStr">
        <is>
          <t>USD</t>
        </is>
      </c>
      <c r="J67" s="155">
        <f>IFERROR(LOOKUP(2,1/(tblFX[Date]&lt;=[@Date]),tblFX[Rate]),XLOOKUP("CURRENT_FX_USDTHB",tblSettings[Key],tblSettings[Value]))</f>
        <v/>
      </c>
      <c r="K67" s="128">
        <f>H67*J67</f>
        <v/>
      </c>
      <c r="L67" s="137" t="inlineStr">
        <is>
          <t>Investment</t>
        </is>
      </c>
      <c r="M67" s="136" t="inlineStr">
        <is>
          <t>US Stocks</t>
        </is>
      </c>
      <c r="N67" s="137" t="inlineStr">
        <is>
          <t>META</t>
        </is>
      </c>
      <c r="O67" s="156" t="n">
        <v>0.02943297376050389</v>
      </c>
      <c r="P67" s="157" t="n">
        <v>679.51</v>
      </c>
      <c r="Q67" s="146" t="n">
        <v>0</v>
      </c>
      <c r="R67" s="146" t="inlineStr"/>
      <c r="S67" s="142" t="inlineStr"/>
      <c r="T67" s="142" t="inlineStr">
        <is>
          <t>30 ตุลาคม 2568 — ซื้อวันที่ 30 ต.ค. 68 เวลา 23:18-23:34 น.</t>
        </is>
      </c>
      <c r="U67" s="142" t="inlineStr">
        <is>
          <t>USA STOCK HIS 2</t>
        </is>
      </c>
      <c r="V67" s="158" t="inlineStr">
        <is>
          <t>Confirmed</t>
        </is>
      </c>
      <c r="W67" s="146" t="n">
        <v>20</v>
      </c>
      <c r="X67" s="137" t="inlineStr">
        <is>
          <t>USD</t>
        </is>
      </c>
    </row>
    <row r="68">
      <c r="B68" s="153" t="inlineStr">
        <is>
          <t>TX-00063</t>
        </is>
      </c>
      <c r="C68" s="144" t="n">
        <v>45960</v>
      </c>
      <c r="D68" s="154" t="inlineStr"/>
      <c r="E68" s="137" t="inlineStr">
        <is>
          <t>Buy</t>
        </is>
      </c>
      <c r="F68" s="136" t="inlineStr">
        <is>
          <t>Dime FCD USD</t>
        </is>
      </c>
      <c r="G68" s="136" t="inlineStr">
        <is>
          <t>Dime US Stocks</t>
        </is>
      </c>
      <c r="H68" s="159" t="n">
        <v>15</v>
      </c>
      <c r="I68" s="137" t="inlineStr">
        <is>
          <t>USD</t>
        </is>
      </c>
      <c r="J68" s="155">
        <f>IFERROR(LOOKUP(2,1/(tblFX[Date]&lt;=[@Date]),tblFX[Rate]),XLOOKUP("CURRENT_FX_USDTHB",tblSettings[Key],tblSettings[Value]))</f>
        <v/>
      </c>
      <c r="K68" s="128">
        <f>H68*J68</f>
        <v/>
      </c>
      <c r="L68" s="137" t="inlineStr">
        <is>
          <t>Investment</t>
        </is>
      </c>
      <c r="M68" s="136" t="inlineStr">
        <is>
          <t>US Stocks</t>
        </is>
      </c>
      <c r="N68" s="137" t="inlineStr">
        <is>
          <t>UNH</t>
        </is>
      </c>
      <c r="O68" s="156" t="n">
        <v>0.04339298422231094</v>
      </c>
      <c r="P68" s="157" t="n">
        <v>345.678</v>
      </c>
      <c r="Q68" s="146" t="n">
        <v>0</v>
      </c>
      <c r="R68" s="146" t="inlineStr"/>
      <c r="S68" s="142" t="inlineStr"/>
      <c r="T68" s="142" t="inlineStr">
        <is>
          <t>30 ตุลาคม 2568 — ซื้อวันที่ 30 ต.ค. 68 เวลา 23:18-23:34 น.</t>
        </is>
      </c>
      <c r="U68" s="142" t="inlineStr">
        <is>
          <t>USA STOCK HIS 2</t>
        </is>
      </c>
      <c r="V68" s="158" t="inlineStr">
        <is>
          <t>Confirmed</t>
        </is>
      </c>
      <c r="W68" s="146" t="n">
        <v>15</v>
      </c>
      <c r="X68" s="137" t="inlineStr">
        <is>
          <t>USD</t>
        </is>
      </c>
    </row>
    <row r="69">
      <c r="B69" s="153" t="inlineStr">
        <is>
          <t>TX-00064</t>
        </is>
      </c>
      <c r="C69" s="144" t="n">
        <v>45960</v>
      </c>
      <c r="D69" s="154" t="inlineStr"/>
      <c r="E69" s="137" t="inlineStr">
        <is>
          <t>Buy</t>
        </is>
      </c>
      <c r="F69" s="136" t="inlineStr">
        <is>
          <t>Dime FCD USD</t>
        </is>
      </c>
      <c r="G69" s="136" t="inlineStr">
        <is>
          <t>Dime US Stocks</t>
        </is>
      </c>
      <c r="H69" s="159" t="n">
        <v>10</v>
      </c>
      <c r="I69" s="137" t="inlineStr">
        <is>
          <t>USD</t>
        </is>
      </c>
      <c r="J69" s="155">
        <f>IFERROR(LOOKUP(2,1/(tblFX[Date]&lt;=[@Date]),tblFX[Rate]),XLOOKUP("CURRENT_FX_USDTHB",tblSettings[Key],tblSettings[Value]))</f>
        <v/>
      </c>
      <c r="K69" s="128">
        <f>H69*J69</f>
        <v/>
      </c>
      <c r="L69" s="137" t="inlineStr">
        <is>
          <t>Investment</t>
        </is>
      </c>
      <c r="M69" s="136" t="inlineStr">
        <is>
          <t>US Stocks</t>
        </is>
      </c>
      <c r="N69" s="137" t="inlineStr">
        <is>
          <t>V</t>
        </is>
      </c>
      <c r="O69" s="156" t="n">
        <v>0.02869506330130964</v>
      </c>
      <c r="P69" s="157" t="n">
        <v>348.492</v>
      </c>
      <c r="Q69" s="146" t="n">
        <v>0</v>
      </c>
      <c r="R69" s="146" t="inlineStr"/>
      <c r="S69" s="142" t="inlineStr"/>
      <c r="T69" s="142" t="inlineStr">
        <is>
          <t>30 ตุลาคม 2568 — ซื้อวันที่ 30 ต.ค. 68 เวลา 23:18-23:34 น.</t>
        </is>
      </c>
      <c r="U69" s="142" t="inlineStr">
        <is>
          <t>USA STOCK HIS 2</t>
        </is>
      </c>
      <c r="V69" s="158" t="inlineStr">
        <is>
          <t>Confirmed</t>
        </is>
      </c>
      <c r="W69" s="146" t="n">
        <v>10</v>
      </c>
      <c r="X69" s="137" t="inlineStr">
        <is>
          <t>USD</t>
        </is>
      </c>
    </row>
    <row r="70">
      <c r="B70" s="153" t="inlineStr">
        <is>
          <t>TX-00065</t>
        </is>
      </c>
      <c r="C70" s="144" t="n">
        <v>45960</v>
      </c>
      <c r="D70" s="154" t="inlineStr">
        <is>
          <t>09:09:20</t>
        </is>
      </c>
      <c r="E70" s="137" t="inlineStr">
        <is>
          <t>Buy</t>
        </is>
      </c>
      <c r="F70" s="136" t="inlineStr">
        <is>
          <t>Dime FCD USD</t>
        </is>
      </c>
      <c r="G70" s="136" t="inlineStr">
        <is>
          <t>Dime Gold</t>
        </is>
      </c>
      <c r="H70" s="159" t="n">
        <v>79.89</v>
      </c>
      <c r="I70" s="137" t="inlineStr">
        <is>
          <t>USD</t>
        </is>
      </c>
      <c r="J70" s="155">
        <f>IFERROR(LOOKUP(2,1/(tblFX[Date]&lt;=[@Date]),tblFX[Rate]),XLOOKUP("CURRENT_FX_USDTHB",tblSettings[Key],tblSettings[Value]))</f>
        <v/>
      </c>
      <c r="K70" s="128">
        <f>H70*J70</f>
        <v/>
      </c>
      <c r="L70" s="137" t="inlineStr">
        <is>
          <t>Investment</t>
        </is>
      </c>
      <c r="M70" s="136" t="inlineStr">
        <is>
          <t>Gold</t>
        </is>
      </c>
      <c r="N70" s="137" t="inlineStr">
        <is>
          <t>MTS-GOLD</t>
        </is>
      </c>
      <c r="O70" s="156" t="n">
        <v>0.0203</v>
      </c>
      <c r="P70" s="157" t="n">
        <v>3935.6</v>
      </c>
      <c r="Q70" s="146" t="n">
        <v>0</v>
      </c>
      <c r="R70" s="146" t="inlineStr"/>
      <c r="S70" s="142" t="inlineStr"/>
      <c r="T70" s="142" t="inlineStr"/>
      <c r="U70" s="142" t="inlineStr">
        <is>
          <t>Dime app IMG_7097-7102</t>
        </is>
      </c>
      <c r="V70" s="158" t="inlineStr">
        <is>
          <t>Confirmed</t>
        </is>
      </c>
      <c r="W70" s="146" t="n">
        <v>79.89</v>
      </c>
      <c r="X70" s="137" t="inlineStr">
        <is>
          <t>USD</t>
        </is>
      </c>
    </row>
    <row r="71">
      <c r="B71" s="153" t="inlineStr">
        <is>
          <t>TX-00066</t>
        </is>
      </c>
      <c r="C71" s="144" t="n">
        <v>45962</v>
      </c>
      <c r="D71" s="154" t="inlineStr"/>
      <c r="E71" s="137" t="inlineStr">
        <is>
          <t>PVD Contribution</t>
        </is>
      </c>
      <c r="F71" s="136" t="inlineStr">
        <is>
          <t>N/A</t>
        </is>
      </c>
      <c r="G71" s="136" t="inlineStr">
        <is>
          <t>PVD</t>
        </is>
      </c>
      <c r="H71" s="130" t="n">
        <v>2700</v>
      </c>
      <c r="I71" s="137" t="inlineStr">
        <is>
          <t>THB</t>
        </is>
      </c>
      <c r="J71" s="155" t="n">
        <v>1</v>
      </c>
      <c r="K71" s="128">
        <f>H71*J71</f>
        <v/>
      </c>
      <c r="L71" s="137" t="inlineStr">
        <is>
          <t>Investment</t>
        </is>
      </c>
      <c r="M71" s="136" t="inlineStr">
        <is>
          <t>PVD</t>
        </is>
      </c>
      <c r="N71" s="137" t="inlineStr">
        <is>
          <t>PVD</t>
        </is>
      </c>
      <c r="O71" s="156" t="inlineStr"/>
      <c r="P71" s="157" t="inlineStr"/>
      <c r="Q71" s="146" t="n">
        <v>0</v>
      </c>
      <c r="R71" s="146" t="inlineStr"/>
      <c r="S71" s="142" t="inlineStr">
        <is>
          <t>PVD Deduction (ลดหย่อนภาษี)</t>
        </is>
      </c>
      <c r="T71" s="142" t="inlineStr">
        <is>
          <t>เงินสะสมพนักงาน (หักจากเงินเดือนก่อนเข้าบัญชี) — พฤศจิกายน 2568</t>
        </is>
      </c>
      <c r="U71" s="142" t="inlineStr">
        <is>
          <t>PVD HIS (delta)</t>
        </is>
      </c>
      <c r="V71" s="158" t="inlineStr">
        <is>
          <t>Confirmed</t>
        </is>
      </c>
      <c r="W71" s="128" t="n">
        <v>2700</v>
      </c>
      <c r="X71" s="137" t="inlineStr">
        <is>
          <t>THB</t>
        </is>
      </c>
    </row>
    <row r="72">
      <c r="B72" s="153" t="inlineStr">
        <is>
          <t>TX-00067</t>
        </is>
      </c>
      <c r="C72" s="144" t="n">
        <v>45962</v>
      </c>
      <c r="D72" s="154" t="inlineStr"/>
      <c r="E72" s="137" t="inlineStr">
        <is>
          <t>PVD Employer</t>
        </is>
      </c>
      <c r="F72" s="136" t="inlineStr">
        <is>
          <t>N/A</t>
        </is>
      </c>
      <c r="G72" s="136" t="inlineStr">
        <is>
          <t>PVD</t>
        </is>
      </c>
      <c r="H72" s="130" t="n">
        <v>2160</v>
      </c>
      <c r="I72" s="137" t="inlineStr">
        <is>
          <t>THB</t>
        </is>
      </c>
      <c r="J72" s="155" t="n">
        <v>1</v>
      </c>
      <c r="K72" s="128">
        <f>H72*J72</f>
        <v/>
      </c>
      <c r="L72" s="137" t="inlineStr">
        <is>
          <t>Investment</t>
        </is>
      </c>
      <c r="M72" s="136" t="inlineStr">
        <is>
          <t>PVD</t>
        </is>
      </c>
      <c r="N72" s="137" t="inlineStr">
        <is>
          <t>PVD</t>
        </is>
      </c>
      <c r="O72" s="156" t="inlineStr"/>
      <c r="P72" s="157" t="inlineStr"/>
      <c r="Q72" s="146" t="n">
        <v>0</v>
      </c>
      <c r="R72" s="146" t="inlineStr"/>
      <c r="S72" s="142" t="inlineStr">
        <is>
          <t>Employer Contribution (ไม่เป็นเงินได้)</t>
        </is>
      </c>
      <c r="T72" s="142" t="inlineStr">
        <is>
          <t>เงินสมทบนายจ้าง — พฤศจิกายน 2568</t>
        </is>
      </c>
      <c r="U72" s="142" t="inlineStr">
        <is>
          <t>PVD HIS (delta)</t>
        </is>
      </c>
      <c r="V72" s="158" t="inlineStr">
        <is>
          <t>Confirmed</t>
        </is>
      </c>
      <c r="W72" s="128" t="n">
        <v>2160</v>
      </c>
      <c r="X72" s="137" t="inlineStr">
        <is>
          <t>THB</t>
        </is>
      </c>
    </row>
    <row r="73">
      <c r="B73" s="153" t="inlineStr">
        <is>
          <t>TX-00068</t>
        </is>
      </c>
      <c r="C73" s="144" t="n">
        <v>45964</v>
      </c>
      <c r="D73" s="154" t="inlineStr"/>
      <c r="E73" s="137" t="inlineStr">
        <is>
          <t>Buy</t>
        </is>
      </c>
      <c r="F73" s="136" t="inlineStr">
        <is>
          <t>Dime FCD USD</t>
        </is>
      </c>
      <c r="G73" s="136" t="inlineStr">
        <is>
          <t>Dime US Stocks</t>
        </is>
      </c>
      <c r="H73" s="159" t="n">
        <v>10</v>
      </c>
      <c r="I73" s="137" t="inlineStr">
        <is>
          <t>USD</t>
        </is>
      </c>
      <c r="J73" s="155">
        <f>IFERROR(LOOKUP(2,1/(tblFX[Date]&lt;=[@Date]),tblFX[Rate]),XLOOKUP("CURRENT_FX_USDTHB",tblSettings[Key],tblSettings[Value]))</f>
        <v/>
      </c>
      <c r="K73" s="128">
        <f>H73*J73</f>
        <v/>
      </c>
      <c r="L73" s="137" t="inlineStr">
        <is>
          <t>Investment</t>
        </is>
      </c>
      <c r="M73" s="136" t="inlineStr">
        <is>
          <t>US Stocks</t>
        </is>
      </c>
      <c r="N73" s="137" t="inlineStr">
        <is>
          <t>AAPL</t>
        </is>
      </c>
      <c r="O73" s="156" t="n">
        <v>0.03744224533656835</v>
      </c>
      <c r="P73" s="157" t="n">
        <v>267.078</v>
      </c>
      <c r="Q73" s="146" t="n">
        <v>0</v>
      </c>
      <c r="R73" s="146" t="inlineStr"/>
      <c r="S73" s="142" t="inlineStr"/>
      <c r="T73" s="142" t="inlineStr">
        <is>
          <t>3 พฤศจิกายน 2568 — ซื้อวันที่ 3 พ.ย. 68 เวลา 23:17-23:20 น.</t>
        </is>
      </c>
      <c r="U73" s="142" t="inlineStr">
        <is>
          <t>USA STOCK HIS 2</t>
        </is>
      </c>
      <c r="V73" s="158" t="inlineStr">
        <is>
          <t>Confirmed</t>
        </is>
      </c>
      <c r="W73" s="146" t="n">
        <v>10</v>
      </c>
      <c r="X73" s="137" t="inlineStr">
        <is>
          <t>USD</t>
        </is>
      </c>
    </row>
    <row r="74">
      <c r="B74" s="153" t="inlineStr">
        <is>
          <t>TX-00069</t>
        </is>
      </c>
      <c r="C74" s="144" t="n">
        <v>45964</v>
      </c>
      <c r="D74" s="154" t="inlineStr"/>
      <c r="E74" s="137" t="inlineStr">
        <is>
          <t>Buy</t>
        </is>
      </c>
      <c r="F74" s="136" t="inlineStr">
        <is>
          <t>Dime FCD USD</t>
        </is>
      </c>
      <c r="G74" s="136" t="inlineStr">
        <is>
          <t>Dime US Stocks</t>
        </is>
      </c>
      <c r="H74" s="159" t="n">
        <v>2.69</v>
      </c>
      <c r="I74" s="137" t="inlineStr">
        <is>
          <t>USD</t>
        </is>
      </c>
      <c r="J74" s="155">
        <f>IFERROR(LOOKUP(2,1/(tblFX[Date]&lt;=[@Date]),tblFX[Rate]),XLOOKUP("CURRENT_FX_USDTHB",tblSettings[Key],tblSettings[Value]))</f>
        <v/>
      </c>
      <c r="K74" s="128">
        <f>H74*J74</f>
        <v/>
      </c>
      <c r="L74" s="137" t="inlineStr">
        <is>
          <t>Investment</t>
        </is>
      </c>
      <c r="M74" s="136" t="inlineStr">
        <is>
          <t>US Stocks</t>
        </is>
      </c>
      <c r="N74" s="137" t="inlineStr">
        <is>
          <t>AMZN</t>
        </is>
      </c>
      <c r="O74" s="156" t="n">
        <v>0.01050272524246068</v>
      </c>
      <c r="P74" s="157" t="n">
        <v>256.124</v>
      </c>
      <c r="Q74" s="146" t="n">
        <v>0</v>
      </c>
      <c r="R74" s="146" t="inlineStr"/>
      <c r="S74" s="142" t="inlineStr"/>
      <c r="T74" s="142" t="inlineStr">
        <is>
          <t>3 พฤศจิกายน 2568 — ซื้อวันที่ 3 พ.ย. 68 เวลา 23:17-23:20 น.</t>
        </is>
      </c>
      <c r="U74" s="142" t="inlineStr">
        <is>
          <t>USA STOCK HIS 2</t>
        </is>
      </c>
      <c r="V74" s="158" t="inlineStr">
        <is>
          <t>Confirmed</t>
        </is>
      </c>
      <c r="W74" s="146" t="n">
        <v>2.69</v>
      </c>
      <c r="X74" s="137" t="inlineStr">
        <is>
          <t>USD</t>
        </is>
      </c>
    </row>
    <row r="75">
      <c r="B75" s="153" t="inlineStr">
        <is>
          <t>TX-00070</t>
        </is>
      </c>
      <c r="C75" s="144" t="n">
        <v>45964</v>
      </c>
      <c r="D75" s="154" t="inlineStr"/>
      <c r="E75" s="137" t="inlineStr">
        <is>
          <t>Buy</t>
        </is>
      </c>
      <c r="F75" s="136" t="inlineStr">
        <is>
          <t>Dime FCD USD</t>
        </is>
      </c>
      <c r="G75" s="136" t="inlineStr">
        <is>
          <t>Dime US Stocks</t>
        </is>
      </c>
      <c r="H75" s="159" t="n">
        <v>5.15</v>
      </c>
      <c r="I75" s="137" t="inlineStr">
        <is>
          <t>USD</t>
        </is>
      </c>
      <c r="J75" s="155">
        <f>IFERROR(LOOKUP(2,1/(tblFX[Date]&lt;=[@Date]),tblFX[Rate]),XLOOKUP("CURRENT_FX_USDTHB",tblSettings[Key],tblSettings[Value]))</f>
        <v/>
      </c>
      <c r="K75" s="128">
        <f>H75*J75</f>
        <v/>
      </c>
      <c r="L75" s="137" t="inlineStr">
        <is>
          <t>Investment</t>
        </is>
      </c>
      <c r="M75" s="136" t="inlineStr">
        <is>
          <t>US Stocks</t>
        </is>
      </c>
      <c r="N75" s="137" t="inlineStr">
        <is>
          <t>BEPC</t>
        </is>
      </c>
      <c r="O75" s="156" t="n">
        <v>0.117962343671263</v>
      </c>
      <c r="P75" s="157" t="n">
        <v>43.658</v>
      </c>
      <c r="Q75" s="146" t="n">
        <v>0</v>
      </c>
      <c r="R75" s="146" t="inlineStr"/>
      <c r="S75" s="142" t="inlineStr"/>
      <c r="T75" s="142" t="inlineStr">
        <is>
          <t>3 พฤศจิกายน 2568 — ซื้อวันที่ 3 พ.ย. 68 เวลา 23:17-23:20 น.</t>
        </is>
      </c>
      <c r="U75" s="142" t="inlineStr">
        <is>
          <t>USA STOCK HIS 2</t>
        </is>
      </c>
      <c r="V75" s="158" t="inlineStr">
        <is>
          <t>Confirmed</t>
        </is>
      </c>
      <c r="W75" s="146" t="n">
        <v>5.15</v>
      </c>
      <c r="X75" s="137" t="inlineStr">
        <is>
          <t>USD</t>
        </is>
      </c>
    </row>
    <row r="76">
      <c r="B76" s="153" t="inlineStr">
        <is>
          <t>TX-00071</t>
        </is>
      </c>
      <c r="C76" s="144" t="n">
        <v>45964</v>
      </c>
      <c r="D76" s="154" t="inlineStr"/>
      <c r="E76" s="137" t="inlineStr">
        <is>
          <t>Buy</t>
        </is>
      </c>
      <c r="F76" s="136" t="inlineStr">
        <is>
          <t>Dime FCD USD</t>
        </is>
      </c>
      <c r="G76" s="136" t="inlineStr">
        <is>
          <t>Dime US Stocks</t>
        </is>
      </c>
      <c r="H76" s="159" t="n">
        <v>9</v>
      </c>
      <c r="I76" s="137" t="inlineStr">
        <is>
          <t>USD</t>
        </is>
      </c>
      <c r="J76" s="155">
        <f>IFERROR(LOOKUP(2,1/(tblFX[Date]&lt;=[@Date]),tblFX[Rate]),XLOOKUP("CURRENT_FX_USDTHB",tblSettings[Key],tblSettings[Value]))</f>
        <v/>
      </c>
      <c r="K76" s="128">
        <f>H76*J76</f>
        <v/>
      </c>
      <c r="L76" s="137" t="inlineStr">
        <is>
          <t>Investment</t>
        </is>
      </c>
      <c r="M76" s="136" t="inlineStr">
        <is>
          <t>US Stocks</t>
        </is>
      </c>
      <c r="N76" s="137" t="inlineStr">
        <is>
          <t>GOOGL</t>
        </is>
      </c>
      <c r="O76" s="156" t="n">
        <v>0.03182191044607247</v>
      </c>
      <c r="P76" s="157" t="n">
        <v>282.824</v>
      </c>
      <c r="Q76" s="146" t="n">
        <v>0</v>
      </c>
      <c r="R76" s="146" t="inlineStr"/>
      <c r="S76" s="142" t="inlineStr"/>
      <c r="T76" s="142" t="inlineStr">
        <is>
          <t>3 พฤศจิกายน 2568 — ซื้อวันที่ 3 พ.ย. 68 เวลา 23:17-23:20 น.</t>
        </is>
      </c>
      <c r="U76" s="142" t="inlineStr">
        <is>
          <t>USA STOCK HIS 2</t>
        </is>
      </c>
      <c r="V76" s="158" t="inlineStr">
        <is>
          <t>Confirmed</t>
        </is>
      </c>
      <c r="W76" s="146" t="n">
        <v>9</v>
      </c>
      <c r="X76" s="137" t="inlineStr">
        <is>
          <t>USD</t>
        </is>
      </c>
    </row>
    <row r="77">
      <c r="B77" s="153" t="inlineStr">
        <is>
          <t>TX-00072</t>
        </is>
      </c>
      <c r="C77" s="144" t="n">
        <v>45964</v>
      </c>
      <c r="D77" s="154" t="inlineStr"/>
      <c r="E77" s="137" t="inlineStr">
        <is>
          <t>Buy</t>
        </is>
      </c>
      <c r="F77" s="136" t="inlineStr">
        <is>
          <t>Dime FCD USD</t>
        </is>
      </c>
      <c r="G77" s="136" t="inlineStr">
        <is>
          <t>Dime US Stocks</t>
        </is>
      </c>
      <c r="H77" s="159" t="n">
        <v>16</v>
      </c>
      <c r="I77" s="137" t="inlineStr">
        <is>
          <t>USD</t>
        </is>
      </c>
      <c r="J77" s="155">
        <f>IFERROR(LOOKUP(2,1/(tblFX[Date]&lt;=[@Date]),tblFX[Rate]),XLOOKUP("CURRENT_FX_USDTHB",tblSettings[Key],tblSettings[Value]))</f>
        <v/>
      </c>
      <c r="K77" s="128">
        <f>H77*J77</f>
        <v/>
      </c>
      <c r="L77" s="137" t="inlineStr">
        <is>
          <t>Investment</t>
        </is>
      </c>
      <c r="M77" s="136" t="inlineStr">
        <is>
          <t>US Stocks</t>
        </is>
      </c>
      <c r="N77" s="137" t="inlineStr">
        <is>
          <t>NVDA</t>
        </is>
      </c>
      <c r="O77" s="156" t="n">
        <v>0.07684254003016069</v>
      </c>
      <c r="P77" s="157" t="n">
        <v>208.218</v>
      </c>
      <c r="Q77" s="146" t="n">
        <v>0</v>
      </c>
      <c r="R77" s="146" t="inlineStr"/>
      <c r="S77" s="142" t="inlineStr"/>
      <c r="T77" s="142" t="inlineStr">
        <is>
          <t>3 พฤศจิกายน 2568 — ซื้อวันที่ 3 พ.ย. 68 เวลา 23:17-23:20 น.</t>
        </is>
      </c>
      <c r="U77" s="142" t="inlineStr">
        <is>
          <t>USA STOCK HIS 2</t>
        </is>
      </c>
      <c r="V77" s="158" t="inlineStr">
        <is>
          <t>Confirmed</t>
        </is>
      </c>
      <c r="W77" s="146" t="n">
        <v>16</v>
      </c>
      <c r="X77" s="137" t="inlineStr">
        <is>
          <t>USD</t>
        </is>
      </c>
    </row>
    <row r="78">
      <c r="B78" s="153" t="inlineStr">
        <is>
          <t>TX-00073</t>
        </is>
      </c>
      <c r="C78" s="144" t="n">
        <v>45964</v>
      </c>
      <c r="D78" s="154" t="inlineStr"/>
      <c r="E78" s="137" t="inlineStr">
        <is>
          <t>Buy</t>
        </is>
      </c>
      <c r="F78" s="136" t="inlineStr">
        <is>
          <t>Dime FCD USD</t>
        </is>
      </c>
      <c r="G78" s="136" t="inlineStr">
        <is>
          <t>Dime US Stocks</t>
        </is>
      </c>
      <c r="H78" s="159" t="n">
        <v>8</v>
      </c>
      <c r="I78" s="137" t="inlineStr">
        <is>
          <t>USD</t>
        </is>
      </c>
      <c r="J78" s="155">
        <f>IFERROR(LOOKUP(2,1/(tblFX[Date]&lt;=[@Date]),tblFX[Rate]),XLOOKUP("CURRENT_FX_USDTHB",tblSettings[Key],tblSettings[Value]))</f>
        <v/>
      </c>
      <c r="K78" s="128">
        <f>H78*J78</f>
        <v/>
      </c>
      <c r="L78" s="137" t="inlineStr">
        <is>
          <t>Investment</t>
        </is>
      </c>
      <c r="M78" s="136" t="inlineStr">
        <is>
          <t>US Stocks</t>
        </is>
      </c>
      <c r="N78" s="137" t="inlineStr">
        <is>
          <t>SCHD</t>
        </is>
      </c>
      <c r="O78" s="156" t="n">
        <v>0.3022517757291824</v>
      </c>
      <c r="P78" s="157" t="n">
        <v>26.468</v>
      </c>
      <c r="Q78" s="146" t="n">
        <v>0</v>
      </c>
      <c r="R78" s="146" t="inlineStr"/>
      <c r="S78" s="142" t="inlineStr"/>
      <c r="T78" s="142" t="inlineStr">
        <is>
          <t>3 พฤศจิกายน 2568 — ซื้อวันที่ 3 พ.ย. 68 เวลา 23:17-23:20 น.</t>
        </is>
      </c>
      <c r="U78" s="142" t="inlineStr">
        <is>
          <t>USA STOCK HIS 2</t>
        </is>
      </c>
      <c r="V78" s="158" t="inlineStr">
        <is>
          <t>Confirmed</t>
        </is>
      </c>
      <c r="W78" s="146" t="n">
        <v>8</v>
      </c>
      <c r="X78" s="137" t="inlineStr">
        <is>
          <t>USD</t>
        </is>
      </c>
    </row>
    <row r="79">
      <c r="B79" s="153" t="inlineStr">
        <is>
          <t>TX-00074</t>
        </is>
      </c>
      <c r="C79" s="144" t="n">
        <v>45964</v>
      </c>
      <c r="D79" s="154" t="inlineStr"/>
      <c r="E79" s="137" t="inlineStr">
        <is>
          <t>Buy</t>
        </is>
      </c>
      <c r="F79" s="136" t="inlineStr">
        <is>
          <t>Dime FCD USD</t>
        </is>
      </c>
      <c r="G79" s="136" t="inlineStr">
        <is>
          <t>Dime US Stocks</t>
        </is>
      </c>
      <c r="H79" s="159" t="n">
        <v>10</v>
      </c>
      <c r="I79" s="137" t="inlineStr">
        <is>
          <t>USD</t>
        </is>
      </c>
      <c r="J79" s="155">
        <f>IFERROR(LOOKUP(2,1/(tblFX[Date]&lt;=[@Date]),tblFX[Rate]),XLOOKUP("CURRENT_FX_USDTHB",tblSettings[Key],tblSettings[Value]))</f>
        <v/>
      </c>
      <c r="K79" s="128">
        <f>H79*J79</f>
        <v/>
      </c>
      <c r="L79" s="137" t="inlineStr">
        <is>
          <t>Investment</t>
        </is>
      </c>
      <c r="M79" s="136" t="inlineStr">
        <is>
          <t>US Stocks</t>
        </is>
      </c>
      <c r="N79" s="137" t="inlineStr">
        <is>
          <t>SCHG</t>
        </is>
      </c>
      <c r="O79" s="156" t="n">
        <v>0.2984361943416498</v>
      </c>
      <c r="P79" s="157" t="n">
        <v>33.508</v>
      </c>
      <c r="Q79" s="146" t="n">
        <v>0</v>
      </c>
      <c r="R79" s="146" t="inlineStr"/>
      <c r="S79" s="142" t="inlineStr"/>
      <c r="T79" s="142" t="inlineStr">
        <is>
          <t>3 พฤศจิกายน 2568 — ซื้อวันที่ 3 พ.ย. 68 เวลา 23:17-23:20 น.</t>
        </is>
      </c>
      <c r="U79" s="142" t="inlineStr">
        <is>
          <t>USA STOCK HIS 2</t>
        </is>
      </c>
      <c r="V79" s="158" t="inlineStr">
        <is>
          <t>Confirmed</t>
        </is>
      </c>
      <c r="W79" s="146" t="n">
        <v>10</v>
      </c>
      <c r="X79" s="137" t="inlineStr">
        <is>
          <t>USD</t>
        </is>
      </c>
    </row>
    <row r="80">
      <c r="B80" s="153" t="inlineStr">
        <is>
          <t>TX-00075</t>
        </is>
      </c>
      <c r="C80" s="144" t="n">
        <v>45965</v>
      </c>
      <c r="D80" s="154" t="inlineStr">
        <is>
          <t>09:51:45</t>
        </is>
      </c>
      <c r="E80" s="137" t="inlineStr">
        <is>
          <t>Buy</t>
        </is>
      </c>
      <c r="F80" s="136" t="inlineStr">
        <is>
          <t>Dime FCD USD</t>
        </is>
      </c>
      <c r="G80" s="136" t="inlineStr">
        <is>
          <t>Dime Gold</t>
        </is>
      </c>
      <c r="H80" s="159" t="n">
        <v>49.73</v>
      </c>
      <c r="I80" s="137" t="inlineStr">
        <is>
          <t>USD</t>
        </is>
      </c>
      <c r="J80" s="155">
        <f>IFERROR(LOOKUP(2,1/(tblFX[Date]&lt;=[@Date]),tblFX[Rate]),XLOOKUP("CURRENT_FX_USDTHB",tblSettings[Key],tblSettings[Value]))</f>
        <v/>
      </c>
      <c r="K80" s="128">
        <f>H80*J80</f>
        <v/>
      </c>
      <c r="L80" s="137" t="inlineStr">
        <is>
          <t>Investment</t>
        </is>
      </c>
      <c r="M80" s="136" t="inlineStr">
        <is>
          <t>Gold</t>
        </is>
      </c>
      <c r="N80" s="137" t="inlineStr">
        <is>
          <t>MTS-GOLD</t>
        </is>
      </c>
      <c r="O80" s="156" t="n">
        <v>0.0125</v>
      </c>
      <c r="P80" s="157" t="n">
        <v>3978.66</v>
      </c>
      <c r="Q80" s="146" t="n">
        <v>0</v>
      </c>
      <c r="R80" s="146" t="inlineStr"/>
      <c r="S80" s="142" t="inlineStr"/>
      <c r="T80" s="142" t="inlineStr"/>
      <c r="U80" s="142" t="inlineStr">
        <is>
          <t>Dime app IMG_7097-7102</t>
        </is>
      </c>
      <c r="V80" s="158" t="inlineStr">
        <is>
          <t>Confirmed</t>
        </is>
      </c>
      <c r="W80" s="146" t="n">
        <v>49.73</v>
      </c>
      <c r="X80" s="137" t="inlineStr">
        <is>
          <t>USD</t>
        </is>
      </c>
    </row>
    <row r="81">
      <c r="B81" s="153" t="inlineStr">
        <is>
          <t>TX-00076</t>
        </is>
      </c>
      <c r="C81" s="144" t="n">
        <v>45988</v>
      </c>
      <c r="D81" s="154" t="inlineStr">
        <is>
          <t>13:28:48</t>
        </is>
      </c>
      <c r="E81" s="137" t="inlineStr">
        <is>
          <t>Transfer</t>
        </is>
      </c>
      <c r="F81" s="136" t="inlineStr">
        <is>
          <t>Dime Save THB</t>
        </is>
      </c>
      <c r="G81" s="136" t="inlineStr">
        <is>
          <t>Dime FCD USD</t>
        </is>
      </c>
      <c r="H81" s="130" t="n">
        <v>9999.889999999999</v>
      </c>
      <c r="I81" s="137" t="inlineStr">
        <is>
          <t>THB</t>
        </is>
      </c>
      <c r="J81" s="155" t="n">
        <v>1</v>
      </c>
      <c r="K81" s="128">
        <f>H81*J81</f>
        <v/>
      </c>
      <c r="L81" s="137" t="inlineStr">
        <is>
          <t>Transfer</t>
        </is>
      </c>
      <c r="M81" s="136" t="inlineStr">
        <is>
          <t>FX Conversion</t>
        </is>
      </c>
      <c r="N81" s="137" t="inlineStr"/>
      <c r="O81" s="156" t="inlineStr"/>
      <c r="P81" s="157" t="inlineStr"/>
      <c r="Q81" s="146" t="n">
        <v>0</v>
      </c>
      <c r="R81" s="146" t="inlineStr"/>
      <c r="S81" s="142" t="inlineStr"/>
      <c r="T81" s="142" t="inlineStr">
        <is>
          <t>แลก ฿9,999.89 -&gt; $309.69 @ 32.2900</t>
        </is>
      </c>
      <c r="U81" s="142" t="inlineStr">
        <is>
          <t>DIME EX</t>
        </is>
      </c>
      <c r="V81" s="158" t="inlineStr">
        <is>
          <t>Confirmed</t>
        </is>
      </c>
      <c r="W81" s="146" t="n">
        <v>309.69</v>
      </c>
      <c r="X81" s="137" t="inlineStr">
        <is>
          <t>USD</t>
        </is>
      </c>
    </row>
    <row r="82">
      <c r="B82" s="153" t="inlineStr">
        <is>
          <t>TX-00077</t>
        </is>
      </c>
      <c r="C82" s="144" t="n">
        <v>45992</v>
      </c>
      <c r="D82" s="154" t="inlineStr"/>
      <c r="E82" s="137" t="inlineStr">
        <is>
          <t>PVD Contribution</t>
        </is>
      </c>
      <c r="F82" s="136" t="inlineStr">
        <is>
          <t>N/A</t>
        </is>
      </c>
      <c r="G82" s="136" t="inlineStr">
        <is>
          <t>PVD</t>
        </is>
      </c>
      <c r="H82" s="130" t="n">
        <v>2700</v>
      </c>
      <c r="I82" s="137" t="inlineStr">
        <is>
          <t>THB</t>
        </is>
      </c>
      <c r="J82" s="155" t="n">
        <v>1</v>
      </c>
      <c r="K82" s="128">
        <f>H82*J82</f>
        <v/>
      </c>
      <c r="L82" s="137" t="inlineStr">
        <is>
          <t>Investment</t>
        </is>
      </c>
      <c r="M82" s="136" t="inlineStr">
        <is>
          <t>PVD</t>
        </is>
      </c>
      <c r="N82" s="137" t="inlineStr">
        <is>
          <t>PVD</t>
        </is>
      </c>
      <c r="O82" s="156" t="inlineStr"/>
      <c r="P82" s="157" t="inlineStr"/>
      <c r="Q82" s="146" t="n">
        <v>0</v>
      </c>
      <c r="R82" s="146" t="inlineStr"/>
      <c r="S82" s="142" t="inlineStr">
        <is>
          <t>PVD Deduction (ลดหย่อนภาษี)</t>
        </is>
      </c>
      <c r="T82" s="142" t="inlineStr">
        <is>
          <t>เงินสะสมพนักงาน (หักจากเงินเดือนก่อนเข้าบัญชี) — ธันวาคม 2568</t>
        </is>
      </c>
      <c r="U82" s="142" t="inlineStr">
        <is>
          <t>PVD HIS (delta)</t>
        </is>
      </c>
      <c r="V82" s="158" t="inlineStr">
        <is>
          <t>Confirmed</t>
        </is>
      </c>
      <c r="W82" s="128" t="n">
        <v>2700</v>
      </c>
      <c r="X82" s="137" t="inlineStr">
        <is>
          <t>THB</t>
        </is>
      </c>
    </row>
    <row r="83">
      <c r="B83" s="153" t="inlineStr">
        <is>
          <t>TX-00078</t>
        </is>
      </c>
      <c r="C83" s="144" t="n">
        <v>45992</v>
      </c>
      <c r="D83" s="154" t="inlineStr"/>
      <c r="E83" s="137" t="inlineStr">
        <is>
          <t>PVD Employer</t>
        </is>
      </c>
      <c r="F83" s="136" t="inlineStr">
        <is>
          <t>N/A</t>
        </is>
      </c>
      <c r="G83" s="136" t="inlineStr">
        <is>
          <t>PVD</t>
        </is>
      </c>
      <c r="H83" s="130" t="n">
        <v>2160</v>
      </c>
      <c r="I83" s="137" t="inlineStr">
        <is>
          <t>THB</t>
        </is>
      </c>
      <c r="J83" s="155" t="n">
        <v>1</v>
      </c>
      <c r="K83" s="128">
        <f>H83*J83</f>
        <v/>
      </c>
      <c r="L83" s="137" t="inlineStr">
        <is>
          <t>Investment</t>
        </is>
      </c>
      <c r="M83" s="136" t="inlineStr">
        <is>
          <t>PVD</t>
        </is>
      </c>
      <c r="N83" s="137" t="inlineStr">
        <is>
          <t>PVD</t>
        </is>
      </c>
      <c r="O83" s="156" t="inlineStr"/>
      <c r="P83" s="157" t="inlineStr"/>
      <c r="Q83" s="146" t="n">
        <v>0</v>
      </c>
      <c r="R83" s="146" t="inlineStr"/>
      <c r="S83" s="142" t="inlineStr">
        <is>
          <t>Employer Contribution (ไม่เป็นเงินได้)</t>
        </is>
      </c>
      <c r="T83" s="142" t="inlineStr">
        <is>
          <t>เงินสมทบนายจ้าง — ธันวาคม 2568</t>
        </is>
      </c>
      <c r="U83" s="142" t="inlineStr">
        <is>
          <t>PVD HIS (delta)</t>
        </is>
      </c>
      <c r="V83" s="158" t="inlineStr">
        <is>
          <t>Confirmed</t>
        </is>
      </c>
      <c r="W83" s="128" t="n">
        <v>2160</v>
      </c>
      <c r="X83" s="137" t="inlineStr">
        <is>
          <t>THB</t>
        </is>
      </c>
    </row>
    <row r="84">
      <c r="B84" s="153" t="inlineStr">
        <is>
          <t>TX-00079</t>
        </is>
      </c>
      <c r="C84" s="144" t="n">
        <v>45992</v>
      </c>
      <c r="D84" s="154" t="inlineStr">
        <is>
          <t>12:58:58</t>
        </is>
      </c>
      <c r="E84" s="137" t="inlineStr">
        <is>
          <t>Sell</t>
        </is>
      </c>
      <c r="F84" s="136" t="inlineStr">
        <is>
          <t>Dime Gold</t>
        </is>
      </c>
      <c r="G84" s="136" t="inlineStr">
        <is>
          <t>Dime FCD USD</t>
        </is>
      </c>
      <c r="H84" s="159" t="n">
        <v>138.67</v>
      </c>
      <c r="I84" s="137" t="inlineStr">
        <is>
          <t>USD</t>
        </is>
      </c>
      <c r="J84" s="155">
        <f>IFERROR(LOOKUP(2,1/(tblFX[Date]&lt;=[@Date]),tblFX[Rate]),XLOOKUP("CURRENT_FX_USDTHB",tblSettings[Key],tblSettings[Value]))</f>
        <v/>
      </c>
      <c r="K84" s="128">
        <f>H84*J84</f>
        <v/>
      </c>
      <c r="L84" s="137" t="inlineStr">
        <is>
          <t>Investment</t>
        </is>
      </c>
      <c r="M84" s="136" t="inlineStr">
        <is>
          <t>Gold</t>
        </is>
      </c>
      <c r="N84" s="137" t="inlineStr">
        <is>
          <t>MTS-GOLD</t>
        </is>
      </c>
      <c r="O84" s="156" t="n">
        <v>0.0328</v>
      </c>
      <c r="P84" s="157" t="n">
        <v>4227.69</v>
      </c>
      <c r="Q84" s="146" t="n">
        <v>0</v>
      </c>
      <c r="R84" s="146" t="n">
        <v>9.042299999999999</v>
      </c>
      <c r="S84" s="142" t="inlineStr">
        <is>
          <t>Foreign Capital Gain</t>
        </is>
      </c>
      <c r="T84" s="142" t="inlineStr"/>
      <c r="U84" s="142" t="inlineStr">
        <is>
          <t>Dime app IMG_7097-7102</t>
        </is>
      </c>
      <c r="V84" s="158" t="inlineStr">
        <is>
          <t>Confirmed</t>
        </is>
      </c>
      <c r="W84" s="146" t="n">
        <v>138.67</v>
      </c>
      <c r="X84" s="137" t="inlineStr">
        <is>
          <t>USD</t>
        </is>
      </c>
    </row>
    <row r="85">
      <c r="B85" s="153" t="inlineStr">
        <is>
          <t>TX-00080</t>
        </is>
      </c>
      <c r="C85" s="144" t="n">
        <v>46006</v>
      </c>
      <c r="D85" s="154" t="inlineStr"/>
      <c r="E85" s="137" t="inlineStr">
        <is>
          <t>Buy</t>
        </is>
      </c>
      <c r="F85" s="136" t="inlineStr">
        <is>
          <t>Dime FCD USD</t>
        </is>
      </c>
      <c r="G85" s="136" t="inlineStr">
        <is>
          <t>Dime US Stocks</t>
        </is>
      </c>
      <c r="H85" s="159" t="n">
        <v>7</v>
      </c>
      <c r="I85" s="137" t="inlineStr">
        <is>
          <t>USD</t>
        </is>
      </c>
      <c r="J85" s="155">
        <f>IFERROR(LOOKUP(2,1/(tblFX[Date]&lt;=[@Date]),tblFX[Rate]),XLOOKUP("CURRENT_FX_USDTHB",tblSettings[Key],tblSettings[Value]))</f>
        <v/>
      </c>
      <c r="K85" s="128">
        <f>H85*J85</f>
        <v/>
      </c>
      <c r="L85" s="137" t="inlineStr">
        <is>
          <t>Investment</t>
        </is>
      </c>
      <c r="M85" s="136" t="inlineStr">
        <is>
          <t>US Stocks</t>
        </is>
      </c>
      <c r="N85" s="137" t="inlineStr">
        <is>
          <t>AAPL</t>
        </is>
      </c>
      <c r="O85" s="156" t="n">
        <v>0.02546732542148423</v>
      </c>
      <c r="P85" s="157" t="n">
        <v>274.862</v>
      </c>
      <c r="Q85" s="146" t="n">
        <v>0</v>
      </c>
      <c r="R85" s="146" t="inlineStr"/>
      <c r="S85" s="142" t="inlineStr"/>
      <c r="T85" s="142" t="inlineStr">
        <is>
          <t>15 ธันวาคม 2568 (เพิ่ม) — ซื้อวันที่ 15 ธ.ค. 68 เวลา 21:49:59 น. (พบจากภาพ IMG_6976)</t>
        </is>
      </c>
      <c r="U85" s="142" t="inlineStr">
        <is>
          <t>USA STOCK HIS 2</t>
        </is>
      </c>
      <c r="V85" s="158" t="inlineStr">
        <is>
          <t>Confirmed</t>
        </is>
      </c>
      <c r="W85" s="146" t="n">
        <v>7</v>
      </c>
      <c r="X85" s="137" t="inlineStr">
        <is>
          <t>USD</t>
        </is>
      </c>
    </row>
    <row r="86">
      <c r="B86" s="153" t="inlineStr">
        <is>
          <t>TX-00081</t>
        </is>
      </c>
      <c r="C86" s="144" t="n">
        <v>46006</v>
      </c>
      <c r="D86" s="154" t="inlineStr"/>
      <c r="E86" s="137" t="inlineStr">
        <is>
          <t>Buy</t>
        </is>
      </c>
      <c r="F86" s="136" t="inlineStr">
        <is>
          <t>Dime FCD USD</t>
        </is>
      </c>
      <c r="G86" s="136" t="inlineStr">
        <is>
          <t>Dime US Stocks</t>
        </is>
      </c>
      <c r="H86" s="159" t="n">
        <v>2</v>
      </c>
      <c r="I86" s="137" t="inlineStr">
        <is>
          <t>USD</t>
        </is>
      </c>
      <c r="J86" s="155">
        <f>IFERROR(LOOKUP(2,1/(tblFX[Date]&lt;=[@Date]),tblFX[Rate]),XLOOKUP("CURRENT_FX_USDTHB",tblSettings[Key],tblSettings[Value]))</f>
        <v/>
      </c>
      <c r="K86" s="128">
        <f>H86*J86</f>
        <v/>
      </c>
      <c r="L86" s="137" t="inlineStr">
        <is>
          <t>Investment</t>
        </is>
      </c>
      <c r="M86" s="136" t="inlineStr">
        <is>
          <t>US Stocks</t>
        </is>
      </c>
      <c r="N86" s="137" t="inlineStr">
        <is>
          <t>AMPX</t>
        </is>
      </c>
      <c r="O86" s="156" t="n">
        <v>0.1931993817619783</v>
      </c>
      <c r="P86" s="157" t="n">
        <v>10.352</v>
      </c>
      <c r="Q86" s="146" t="n">
        <v>0</v>
      </c>
      <c r="R86" s="146" t="inlineStr"/>
      <c r="S86" s="142" t="inlineStr"/>
      <c r="T86" s="142" t="inlineStr">
        <is>
          <t>15 ธันวาคม 2568 (เพิ่ม) — ซื้อวันที่ 15 ธ.ค. 68 เวลา 21:49:33 น. (พบจากภาพ IMG_6976)</t>
        </is>
      </c>
      <c r="U86" s="142" t="inlineStr">
        <is>
          <t>USA STOCK HIS 2</t>
        </is>
      </c>
      <c r="V86" s="158" t="inlineStr">
        <is>
          <t>Confirmed</t>
        </is>
      </c>
      <c r="W86" s="146" t="n">
        <v>2</v>
      </c>
      <c r="X86" s="137" t="inlineStr">
        <is>
          <t>USD</t>
        </is>
      </c>
    </row>
    <row r="87">
      <c r="B87" s="153" t="inlineStr">
        <is>
          <t>TX-00082</t>
        </is>
      </c>
      <c r="C87" s="144" t="n">
        <v>46006</v>
      </c>
      <c r="D87" s="154" t="inlineStr"/>
      <c r="E87" s="137" t="inlineStr">
        <is>
          <t>Buy</t>
        </is>
      </c>
      <c r="F87" s="136" t="inlineStr">
        <is>
          <t>Dime FCD USD</t>
        </is>
      </c>
      <c r="G87" s="136" t="inlineStr">
        <is>
          <t>Dime US Stocks</t>
        </is>
      </c>
      <c r="H87" s="159" t="n">
        <v>4</v>
      </c>
      <c r="I87" s="137" t="inlineStr">
        <is>
          <t>USD</t>
        </is>
      </c>
      <c r="J87" s="155">
        <f>IFERROR(LOOKUP(2,1/(tblFX[Date]&lt;=[@Date]),tblFX[Rate]),XLOOKUP("CURRENT_FX_USDTHB",tblSettings[Key],tblSettings[Value]))</f>
        <v/>
      </c>
      <c r="K87" s="128">
        <f>H87*J87</f>
        <v/>
      </c>
      <c r="L87" s="137" t="inlineStr">
        <is>
          <t>Investment</t>
        </is>
      </c>
      <c r="M87" s="136" t="inlineStr">
        <is>
          <t>US Stocks</t>
        </is>
      </c>
      <c r="N87" s="137" t="inlineStr">
        <is>
          <t>AMZN</t>
        </is>
      </c>
      <c r="O87" s="156" t="n">
        <v>0.01779042874933286</v>
      </c>
      <c r="P87" s="157" t="n">
        <v>224.84</v>
      </c>
      <c r="Q87" s="146" t="n">
        <v>0</v>
      </c>
      <c r="R87" s="146" t="inlineStr"/>
      <c r="S87" s="142" t="inlineStr"/>
      <c r="T87" s="142" t="inlineStr">
        <is>
          <t>15 ธันวาคม 2568 — ซื้อวันที่ 15 ธ.ค. 68 เวลา 21:45-21:51 น.</t>
        </is>
      </c>
      <c r="U87" s="142" t="inlineStr">
        <is>
          <t>USA STOCK HIS 2</t>
        </is>
      </c>
      <c r="V87" s="158" t="inlineStr">
        <is>
          <t>Confirmed</t>
        </is>
      </c>
      <c r="W87" s="146" t="n">
        <v>4</v>
      </c>
      <c r="X87" s="137" t="inlineStr">
        <is>
          <t>USD</t>
        </is>
      </c>
    </row>
    <row r="88">
      <c r="B88" s="153" t="inlineStr">
        <is>
          <t>TX-00083</t>
        </is>
      </c>
      <c r="C88" s="144" t="n">
        <v>46006</v>
      </c>
      <c r="D88" s="154" t="inlineStr"/>
      <c r="E88" s="137" t="inlineStr">
        <is>
          <t>Buy</t>
        </is>
      </c>
      <c r="F88" s="136" t="inlineStr">
        <is>
          <t>Dime FCD USD</t>
        </is>
      </c>
      <c r="G88" s="136" t="inlineStr">
        <is>
          <t>Dime US Stocks</t>
        </is>
      </c>
      <c r="H88" s="159" t="n">
        <v>2</v>
      </c>
      <c r="I88" s="137" t="inlineStr">
        <is>
          <t>USD</t>
        </is>
      </c>
      <c r="J88" s="155">
        <f>IFERROR(LOOKUP(2,1/(tblFX[Date]&lt;=[@Date]),tblFX[Rate]),XLOOKUP("CURRENT_FX_USDTHB",tblSettings[Key],tblSettings[Value]))</f>
        <v/>
      </c>
      <c r="K88" s="128">
        <f>H88*J88</f>
        <v/>
      </c>
      <c r="L88" s="137" t="inlineStr">
        <is>
          <t>Investment</t>
        </is>
      </c>
      <c r="M88" s="136" t="inlineStr">
        <is>
          <t>US Stocks</t>
        </is>
      </c>
      <c r="N88" s="137" t="inlineStr">
        <is>
          <t>BEPC</t>
        </is>
      </c>
      <c r="O88" s="156" t="n">
        <v>0.05170096163788647</v>
      </c>
      <c r="P88" s="157" t="n">
        <v>38.684</v>
      </c>
      <c r="Q88" s="146" t="n">
        <v>0</v>
      </c>
      <c r="R88" s="146" t="inlineStr"/>
      <c r="S88" s="142" t="inlineStr"/>
      <c r="T88" s="142" t="inlineStr">
        <is>
          <t>15 ธันวาคม 2568 — ซื้อวันที่ 15 ธ.ค. 68 เวลา 21:45-21:51 น.</t>
        </is>
      </c>
      <c r="U88" s="142" t="inlineStr">
        <is>
          <t>USA STOCK HIS 2</t>
        </is>
      </c>
      <c r="V88" s="158" t="inlineStr">
        <is>
          <t>Confirmed</t>
        </is>
      </c>
      <c r="W88" s="146" t="n">
        <v>2</v>
      </c>
      <c r="X88" s="137" t="inlineStr">
        <is>
          <t>USD</t>
        </is>
      </c>
    </row>
    <row r="89">
      <c r="B89" s="153" t="inlineStr">
        <is>
          <t>TX-00084</t>
        </is>
      </c>
      <c r="C89" s="144" t="n">
        <v>46006</v>
      </c>
      <c r="D89" s="154" t="inlineStr"/>
      <c r="E89" s="137" t="inlineStr">
        <is>
          <t>Buy</t>
        </is>
      </c>
      <c r="F89" s="136" t="inlineStr">
        <is>
          <t>Dime FCD USD</t>
        </is>
      </c>
      <c r="G89" s="136" t="inlineStr">
        <is>
          <t>Dime US Stocks</t>
        </is>
      </c>
      <c r="H89" s="159" t="n">
        <v>6</v>
      </c>
      <c r="I89" s="137" t="inlineStr">
        <is>
          <t>USD</t>
        </is>
      </c>
      <c r="J89" s="155">
        <f>IFERROR(LOOKUP(2,1/(tblFX[Date]&lt;=[@Date]),tblFX[Rate]),XLOOKUP("CURRENT_FX_USDTHB",tblSettings[Key],tblSettings[Value]))</f>
        <v/>
      </c>
      <c r="K89" s="128">
        <f>H89*J89</f>
        <v/>
      </c>
      <c r="L89" s="137" t="inlineStr">
        <is>
          <t>Investment</t>
        </is>
      </c>
      <c r="M89" s="136" t="inlineStr">
        <is>
          <t>US Stocks</t>
        </is>
      </c>
      <c r="N89" s="137" t="inlineStr">
        <is>
          <t>GOOGL</t>
        </is>
      </c>
      <c r="O89" s="156" t="n">
        <v>0.01944932478427457</v>
      </c>
      <c r="P89" s="157" t="n">
        <v>308.494</v>
      </c>
      <c r="Q89" s="146" t="n">
        <v>0</v>
      </c>
      <c r="R89" s="146" t="inlineStr"/>
      <c r="S89" s="142" t="inlineStr"/>
      <c r="T89" s="142" t="inlineStr">
        <is>
          <t>15 ธันวาคม 2568 (เพิ่ม) — ซื้อวันที่ 15 ธ.ค. 68 เวลา 21:50:36 น. (พบจากภาพ IMG_6976)</t>
        </is>
      </c>
      <c r="U89" s="142" t="inlineStr">
        <is>
          <t>USA STOCK HIS 2</t>
        </is>
      </c>
      <c r="V89" s="158" t="inlineStr">
        <is>
          <t>Confirmed</t>
        </is>
      </c>
      <c r="W89" s="146" t="n">
        <v>6</v>
      </c>
      <c r="X89" s="137" t="inlineStr">
        <is>
          <t>USD</t>
        </is>
      </c>
    </row>
    <row r="90">
      <c r="B90" s="153" t="inlineStr">
        <is>
          <t>TX-00085</t>
        </is>
      </c>
      <c r="C90" s="144" t="n">
        <v>46006</v>
      </c>
      <c r="D90" s="154" t="inlineStr"/>
      <c r="E90" s="137" t="inlineStr">
        <is>
          <t>Buy</t>
        </is>
      </c>
      <c r="F90" s="136" t="inlineStr">
        <is>
          <t>Dime FCD USD</t>
        </is>
      </c>
      <c r="G90" s="136" t="inlineStr">
        <is>
          <t>Dime US Stocks</t>
        </is>
      </c>
      <c r="H90" s="159" t="n">
        <v>17</v>
      </c>
      <c r="I90" s="137" t="inlineStr">
        <is>
          <t>USD</t>
        </is>
      </c>
      <c r="J90" s="155">
        <f>IFERROR(LOOKUP(2,1/(tblFX[Date]&lt;=[@Date]),tblFX[Rate]),XLOOKUP("CURRENT_FX_USDTHB",tblSettings[Key],tblSettings[Value]))</f>
        <v/>
      </c>
      <c r="K90" s="128">
        <f>H90*J90</f>
        <v/>
      </c>
      <c r="L90" s="137" t="inlineStr">
        <is>
          <t>Investment</t>
        </is>
      </c>
      <c r="M90" s="136" t="inlineStr">
        <is>
          <t>US Stocks</t>
        </is>
      </c>
      <c r="N90" s="137" t="inlineStr">
        <is>
          <t>META</t>
        </is>
      </c>
      <c r="O90" s="156" t="n">
        <v>0.02626464253821505</v>
      </c>
      <c r="P90" s="157" t="n">
        <v>647.258</v>
      </c>
      <c r="Q90" s="146" t="n">
        <v>0</v>
      </c>
      <c r="R90" s="146" t="inlineStr"/>
      <c r="S90" s="142" t="inlineStr"/>
      <c r="T90" s="142" t="inlineStr">
        <is>
          <t>15 ธันวาคม 2568 — ซื้อวันที่ 15 ธ.ค. 68 เวลา 21:45-21:51 น.</t>
        </is>
      </c>
      <c r="U90" s="142" t="inlineStr">
        <is>
          <t>USA STOCK HIS 2</t>
        </is>
      </c>
      <c r="V90" s="158" t="inlineStr">
        <is>
          <t>Confirmed</t>
        </is>
      </c>
      <c r="W90" s="146" t="n">
        <v>17</v>
      </c>
      <c r="X90" s="137" t="inlineStr">
        <is>
          <t>USD</t>
        </is>
      </c>
    </row>
    <row r="91">
      <c r="B91" s="153" t="inlineStr">
        <is>
          <t>TX-00086</t>
        </is>
      </c>
      <c r="C91" s="144" t="n">
        <v>46006</v>
      </c>
      <c r="D91" s="154" t="inlineStr"/>
      <c r="E91" s="137" t="inlineStr">
        <is>
          <t>Buy</t>
        </is>
      </c>
      <c r="F91" s="136" t="inlineStr">
        <is>
          <t>Dime FCD USD</t>
        </is>
      </c>
      <c r="G91" s="136" t="inlineStr">
        <is>
          <t>Dime US Stocks</t>
        </is>
      </c>
      <c r="H91" s="159" t="n">
        <v>15</v>
      </c>
      <c r="I91" s="137" t="inlineStr">
        <is>
          <t>USD</t>
        </is>
      </c>
      <c r="J91" s="155">
        <f>IFERROR(LOOKUP(2,1/(tblFX[Date]&lt;=[@Date]),tblFX[Rate]),XLOOKUP("CURRENT_FX_USDTHB",tblSettings[Key],tblSettings[Value]))</f>
        <v/>
      </c>
      <c r="K91" s="128">
        <f>H91*J91</f>
        <v/>
      </c>
      <c r="L91" s="137" t="inlineStr">
        <is>
          <t>Investment</t>
        </is>
      </c>
      <c r="M91" s="136" t="inlineStr">
        <is>
          <t>US Stocks</t>
        </is>
      </c>
      <c r="N91" s="137" t="inlineStr">
        <is>
          <t>MSFT</t>
        </is>
      </c>
      <c r="O91" s="156" t="n">
        <v>0.03143520575390006</v>
      </c>
      <c r="P91" s="157" t="n">
        <v>477.172</v>
      </c>
      <c r="Q91" s="146" t="n">
        <v>0</v>
      </c>
      <c r="R91" s="146" t="inlineStr"/>
      <c r="S91" s="142" t="inlineStr"/>
      <c r="T91" s="142" t="inlineStr">
        <is>
          <t>15 ธันวาคม 2568 — ซื้อวันที่ 15 ธ.ค. 68 เวลา 21:45-21:51 น.</t>
        </is>
      </c>
      <c r="U91" s="142" t="inlineStr">
        <is>
          <t>USA STOCK HIS 2</t>
        </is>
      </c>
      <c r="V91" s="158" t="inlineStr">
        <is>
          <t>Confirmed</t>
        </is>
      </c>
      <c r="W91" s="146" t="n">
        <v>15</v>
      </c>
      <c r="X91" s="137" t="inlineStr">
        <is>
          <t>USD</t>
        </is>
      </c>
    </row>
    <row r="92">
      <c r="B92" s="153" t="inlineStr">
        <is>
          <t>TX-00087</t>
        </is>
      </c>
      <c r="C92" s="144" t="n">
        <v>46006</v>
      </c>
      <c r="D92" s="154" t="inlineStr"/>
      <c r="E92" s="137" t="inlineStr">
        <is>
          <t>Buy</t>
        </is>
      </c>
      <c r="F92" s="136" t="inlineStr">
        <is>
          <t>Dime FCD USD</t>
        </is>
      </c>
      <c r="G92" s="136" t="inlineStr">
        <is>
          <t>Dime US Stocks</t>
        </is>
      </c>
      <c r="H92" s="159" t="n">
        <v>20</v>
      </c>
      <c r="I92" s="137" t="inlineStr">
        <is>
          <t>USD</t>
        </is>
      </c>
      <c r="J92" s="155">
        <f>IFERROR(LOOKUP(2,1/(tblFX[Date]&lt;=[@Date]),tblFX[Rate]),XLOOKUP("CURRENT_FX_USDTHB",tblSettings[Key],tblSettings[Value]))</f>
        <v/>
      </c>
      <c r="K92" s="128">
        <f>H92*J92</f>
        <v/>
      </c>
      <c r="L92" s="137" t="inlineStr">
        <is>
          <t>Investment</t>
        </is>
      </c>
      <c r="M92" s="136" t="inlineStr">
        <is>
          <t>US Stocks</t>
        </is>
      </c>
      <c r="N92" s="137" t="inlineStr">
        <is>
          <t>NVDA</t>
        </is>
      </c>
      <c r="O92" s="156" t="n">
        <v>0.1128362520310525</v>
      </c>
      <c r="P92" s="157" t="n">
        <v>177.248</v>
      </c>
      <c r="Q92" s="146" t="n">
        <v>0</v>
      </c>
      <c r="R92" s="146" t="inlineStr"/>
      <c r="S92" s="142" t="inlineStr"/>
      <c r="T92" s="142" t="inlineStr">
        <is>
          <t>15 ธันวาคม 2568 — ซื้อวันที่ 15 ธ.ค. 68 เวลา 21:45-21:51 น.</t>
        </is>
      </c>
      <c r="U92" s="142" t="inlineStr">
        <is>
          <t>USA STOCK HIS 2</t>
        </is>
      </c>
      <c r="V92" s="158" t="inlineStr">
        <is>
          <t>Confirmed</t>
        </is>
      </c>
      <c r="W92" s="146" t="n">
        <v>20</v>
      </c>
      <c r="X92" s="137" t="inlineStr">
        <is>
          <t>USD</t>
        </is>
      </c>
    </row>
    <row r="93">
      <c r="B93" s="153" t="inlineStr">
        <is>
          <t>TX-00088</t>
        </is>
      </c>
      <c r="C93" s="144" t="n">
        <v>46006</v>
      </c>
      <c r="D93" s="154" t="inlineStr"/>
      <c r="E93" s="137" t="inlineStr">
        <is>
          <t>Buy</t>
        </is>
      </c>
      <c r="F93" s="136" t="inlineStr">
        <is>
          <t>Dime FCD USD</t>
        </is>
      </c>
      <c r="G93" s="136" t="inlineStr">
        <is>
          <t>Dime US Stocks</t>
        </is>
      </c>
      <c r="H93" s="159" t="n">
        <v>10</v>
      </c>
      <c r="I93" s="137" t="inlineStr">
        <is>
          <t>USD</t>
        </is>
      </c>
      <c r="J93" s="155">
        <f>IFERROR(LOOKUP(2,1/(tblFX[Date]&lt;=[@Date]),tblFX[Rate]),XLOOKUP("CURRENT_FX_USDTHB",tblSettings[Key],tblSettings[Value]))</f>
        <v/>
      </c>
      <c r="K93" s="128">
        <f>H93*J93</f>
        <v/>
      </c>
      <c r="L93" s="137" t="inlineStr">
        <is>
          <t>Investment</t>
        </is>
      </c>
      <c r="M93" s="136" t="inlineStr">
        <is>
          <t>US Stocks</t>
        </is>
      </c>
      <c r="N93" s="137" t="inlineStr">
        <is>
          <t>SCHG</t>
        </is>
      </c>
      <c r="O93" s="156" t="n">
        <v>0.3074274471224791</v>
      </c>
      <c r="P93" s="157" t="n">
        <v>32.528</v>
      </c>
      <c r="Q93" s="146" t="n">
        <v>0</v>
      </c>
      <c r="R93" s="146" t="inlineStr"/>
      <c r="S93" s="142" t="inlineStr"/>
      <c r="T93" s="142" t="inlineStr">
        <is>
          <t>15 ธันวาคม 2568 (เพิ่ม) — ซื้อวันที่ 15 ธ.ค. 68 เวลา 21:50:57 น. (พบจากภาพ IMG_6976)</t>
        </is>
      </c>
      <c r="U93" s="142" t="inlineStr">
        <is>
          <t>USA STOCK HIS 2</t>
        </is>
      </c>
      <c r="V93" s="158" t="inlineStr">
        <is>
          <t>Confirmed</t>
        </is>
      </c>
      <c r="W93" s="146" t="n">
        <v>10</v>
      </c>
      <c r="X93" s="137" t="inlineStr">
        <is>
          <t>USD</t>
        </is>
      </c>
    </row>
    <row r="94">
      <c r="B94" s="153" t="inlineStr">
        <is>
          <t>TX-00089</t>
        </is>
      </c>
      <c r="C94" s="144" t="n">
        <v>46006</v>
      </c>
      <c r="D94" s="154" t="inlineStr"/>
      <c r="E94" s="137" t="inlineStr">
        <is>
          <t>Buy</t>
        </is>
      </c>
      <c r="F94" s="136" t="inlineStr">
        <is>
          <t>Dime FCD USD</t>
        </is>
      </c>
      <c r="G94" s="136" t="inlineStr">
        <is>
          <t>Dime US Stocks</t>
        </is>
      </c>
      <c r="H94" s="159" t="n">
        <v>10</v>
      </c>
      <c r="I94" s="137" t="inlineStr">
        <is>
          <t>USD</t>
        </is>
      </c>
      <c r="J94" s="155">
        <f>IFERROR(LOOKUP(2,1/(tblFX[Date]&lt;=[@Date]),tblFX[Rate]),XLOOKUP("CURRENT_FX_USDTHB",tblSettings[Key],tblSettings[Value]))</f>
        <v/>
      </c>
      <c r="K94" s="128">
        <f>H94*J94</f>
        <v/>
      </c>
      <c r="L94" s="137" t="inlineStr">
        <is>
          <t>Investment</t>
        </is>
      </c>
      <c r="M94" s="136" t="inlineStr">
        <is>
          <t>US Stocks</t>
        </is>
      </c>
      <c r="N94" s="137" t="inlineStr">
        <is>
          <t>UNH</t>
        </is>
      </c>
      <c r="O94" s="156" t="n">
        <v>0.02935323091012628</v>
      </c>
      <c r="P94" s="157" t="n">
        <v>340.678</v>
      </c>
      <c r="Q94" s="146" t="n">
        <v>0</v>
      </c>
      <c r="R94" s="146" t="inlineStr"/>
      <c r="S94" s="142" t="inlineStr"/>
      <c r="T94" s="142" t="inlineStr">
        <is>
          <t>15 ธันวาคม 2568 (เพิ่ม) — ซื้อวันที่ 15 ธ.ค. 68 เวลา 21:48:47 น. (พบจากภาพ IMG_6976)</t>
        </is>
      </c>
      <c r="U94" s="142" t="inlineStr">
        <is>
          <t>USA STOCK HIS 2</t>
        </is>
      </c>
      <c r="V94" s="158" t="inlineStr">
        <is>
          <t>Confirmed</t>
        </is>
      </c>
      <c r="W94" s="146" t="n">
        <v>10</v>
      </c>
      <c r="X94" s="137" t="inlineStr">
        <is>
          <t>USD</t>
        </is>
      </c>
    </row>
    <row r="95">
      <c r="B95" s="153" t="inlineStr">
        <is>
          <t>TX-00090</t>
        </is>
      </c>
      <c r="C95" s="144" t="n">
        <v>46006</v>
      </c>
      <c r="D95" s="154" t="inlineStr"/>
      <c r="E95" s="137" t="inlineStr">
        <is>
          <t>Buy</t>
        </is>
      </c>
      <c r="F95" s="136" t="inlineStr">
        <is>
          <t>Dime FCD USD</t>
        </is>
      </c>
      <c r="G95" s="136" t="inlineStr">
        <is>
          <t>Dime US Stocks</t>
        </is>
      </c>
      <c r="H95" s="159" t="n">
        <v>9</v>
      </c>
      <c r="I95" s="137" t="inlineStr">
        <is>
          <t>USD</t>
        </is>
      </c>
      <c r="J95" s="155">
        <f>IFERROR(LOOKUP(2,1/(tblFX[Date]&lt;=[@Date]),tblFX[Rate]),XLOOKUP("CURRENT_FX_USDTHB",tblSettings[Key],tblSettings[Value]))</f>
        <v/>
      </c>
      <c r="K95" s="128">
        <f>H95*J95</f>
        <v/>
      </c>
      <c r="L95" s="137" t="inlineStr">
        <is>
          <t>Investment</t>
        </is>
      </c>
      <c r="M95" s="136" t="inlineStr">
        <is>
          <t>US Stocks</t>
        </is>
      </c>
      <c r="N95" s="137" t="inlineStr">
        <is>
          <t>V</t>
        </is>
      </c>
      <c r="O95" s="156" t="n">
        <v>0.02606036739326832</v>
      </c>
      <c r="P95" s="157" t="n">
        <v>345.352</v>
      </c>
      <c r="Q95" s="146" t="n">
        <v>0</v>
      </c>
      <c r="R95" s="146" t="inlineStr"/>
      <c r="S95" s="142" t="inlineStr"/>
      <c r="T95" s="142" t="inlineStr">
        <is>
          <t>15 ธันวาคม 2568 (เพิ่ม) — ซื้อวันที่ 15 ธ.ค. 68 เวลา 21:48:20 น. (พบจากภาพ IMG_6976)</t>
        </is>
      </c>
      <c r="U95" s="142" t="inlineStr">
        <is>
          <t>USA STOCK HIS 2</t>
        </is>
      </c>
      <c r="V95" s="158" t="inlineStr">
        <is>
          <t>Confirmed</t>
        </is>
      </c>
      <c r="W95" s="146" t="n">
        <v>9</v>
      </c>
      <c r="X95" s="137" t="inlineStr">
        <is>
          <t>USD</t>
        </is>
      </c>
    </row>
    <row r="96">
      <c r="B96" s="153" t="inlineStr">
        <is>
          <t>TX-00091</t>
        </is>
      </c>
      <c r="C96" s="144" t="n">
        <v>46020</v>
      </c>
      <c r="D96" s="154" t="inlineStr">
        <is>
          <t>10:59:16</t>
        </is>
      </c>
      <c r="E96" s="137" t="inlineStr">
        <is>
          <t>Transfer</t>
        </is>
      </c>
      <c r="F96" s="136" t="inlineStr">
        <is>
          <t>Dime Save THB</t>
        </is>
      </c>
      <c r="G96" s="136" t="inlineStr">
        <is>
          <t>Dime FCD USD</t>
        </is>
      </c>
      <c r="H96" s="130" t="n">
        <v>3999.72</v>
      </c>
      <c r="I96" s="137" t="inlineStr">
        <is>
          <t>THB</t>
        </is>
      </c>
      <c r="J96" s="155" t="n">
        <v>1</v>
      </c>
      <c r="K96" s="128">
        <f>H96*J96</f>
        <v/>
      </c>
      <c r="L96" s="137" t="inlineStr">
        <is>
          <t>Transfer</t>
        </is>
      </c>
      <c r="M96" s="136" t="inlineStr">
        <is>
          <t>FX Conversion</t>
        </is>
      </c>
      <c r="N96" s="137" t="inlineStr"/>
      <c r="O96" s="156" t="inlineStr"/>
      <c r="P96" s="157" t="inlineStr"/>
      <c r="Q96" s="146" t="n">
        <v>0</v>
      </c>
      <c r="R96" s="146" t="inlineStr"/>
      <c r="S96" s="142" t="inlineStr"/>
      <c r="T96" s="142" t="inlineStr">
        <is>
          <t>แลก ฿3,999.72 -&gt; $127.95 @ 31.2600</t>
        </is>
      </c>
      <c r="U96" s="142" t="inlineStr">
        <is>
          <t>DIME EX</t>
        </is>
      </c>
      <c r="V96" s="158" t="inlineStr">
        <is>
          <t>Confirmed</t>
        </is>
      </c>
      <c r="W96" s="146" t="n">
        <v>127.95</v>
      </c>
      <c r="X96" s="137" t="inlineStr">
        <is>
          <t>USD</t>
        </is>
      </c>
    </row>
    <row r="97">
      <c r="B97" s="153" t="inlineStr">
        <is>
          <t>TX-00092</t>
        </is>
      </c>
      <c r="C97" s="144" t="n">
        <v>46023</v>
      </c>
      <c r="D97" s="154" t="inlineStr"/>
      <c r="E97" s="137" t="inlineStr">
        <is>
          <t>PVD Contribution</t>
        </is>
      </c>
      <c r="F97" s="136" t="inlineStr">
        <is>
          <t>N/A</t>
        </is>
      </c>
      <c r="G97" s="136" t="inlineStr">
        <is>
          <t>PVD</t>
        </is>
      </c>
      <c r="H97" s="130" t="n">
        <v>2841.75</v>
      </c>
      <c r="I97" s="137" t="inlineStr">
        <is>
          <t>THB</t>
        </is>
      </c>
      <c r="J97" s="155" t="n">
        <v>1</v>
      </c>
      <c r="K97" s="128">
        <f>H97*J97</f>
        <v/>
      </c>
      <c r="L97" s="137" t="inlineStr">
        <is>
          <t>Investment</t>
        </is>
      </c>
      <c r="M97" s="136" t="inlineStr">
        <is>
          <t>PVD</t>
        </is>
      </c>
      <c r="N97" s="137" t="inlineStr">
        <is>
          <t>PVD</t>
        </is>
      </c>
      <c r="O97" s="156" t="inlineStr"/>
      <c r="P97" s="157" t="inlineStr"/>
      <c r="Q97" s="146" t="n">
        <v>0</v>
      </c>
      <c r="R97" s="146" t="inlineStr"/>
      <c r="S97" s="142" t="inlineStr">
        <is>
          <t>PVD Deduction (ลดหย่อนภาษี)</t>
        </is>
      </c>
      <c r="T97" s="142" t="inlineStr">
        <is>
          <t>เงินสะสมพนักงาน (หักจากเงินเดือนก่อนเข้าบัญชี) — มกราคม 2569</t>
        </is>
      </c>
      <c r="U97" s="142" t="inlineStr">
        <is>
          <t>PVD HIS (delta)</t>
        </is>
      </c>
      <c r="V97" s="158" t="inlineStr">
        <is>
          <t>Confirmed</t>
        </is>
      </c>
      <c r="W97" s="128" t="n">
        <v>2841.75</v>
      </c>
      <c r="X97" s="137" t="inlineStr">
        <is>
          <t>THB</t>
        </is>
      </c>
    </row>
    <row r="98">
      <c r="B98" s="153" t="inlineStr">
        <is>
          <t>TX-00093</t>
        </is>
      </c>
      <c r="C98" s="144" t="n">
        <v>46023</v>
      </c>
      <c r="D98" s="154" t="inlineStr"/>
      <c r="E98" s="137" t="inlineStr">
        <is>
          <t>PVD Employer</t>
        </is>
      </c>
      <c r="F98" s="136" t="inlineStr">
        <is>
          <t>N/A</t>
        </is>
      </c>
      <c r="G98" s="136" t="inlineStr">
        <is>
          <t>PVD</t>
        </is>
      </c>
      <c r="H98" s="130" t="n">
        <v>2273.4</v>
      </c>
      <c r="I98" s="137" t="inlineStr">
        <is>
          <t>THB</t>
        </is>
      </c>
      <c r="J98" s="155" t="n">
        <v>1</v>
      </c>
      <c r="K98" s="128">
        <f>H98*J98</f>
        <v/>
      </c>
      <c r="L98" s="137" t="inlineStr">
        <is>
          <t>Investment</t>
        </is>
      </c>
      <c r="M98" s="136" t="inlineStr">
        <is>
          <t>PVD</t>
        </is>
      </c>
      <c r="N98" s="137" t="inlineStr">
        <is>
          <t>PVD</t>
        </is>
      </c>
      <c r="O98" s="156" t="inlineStr"/>
      <c r="P98" s="157" t="inlineStr"/>
      <c r="Q98" s="146" t="n">
        <v>0</v>
      </c>
      <c r="R98" s="146" t="inlineStr"/>
      <c r="S98" s="142" t="inlineStr">
        <is>
          <t>Employer Contribution (ไม่เป็นเงินได้)</t>
        </is>
      </c>
      <c r="T98" s="142" t="inlineStr">
        <is>
          <t>เงินสมทบนายจ้าง — มกราคม 2569</t>
        </is>
      </c>
      <c r="U98" s="142" t="inlineStr">
        <is>
          <t>PVD HIS (delta)</t>
        </is>
      </c>
      <c r="V98" s="158" t="inlineStr">
        <is>
          <t>Confirmed</t>
        </is>
      </c>
      <c r="W98" s="128" t="n">
        <v>2273.4</v>
      </c>
      <c r="X98" s="137" t="inlineStr">
        <is>
          <t>THB</t>
        </is>
      </c>
    </row>
    <row r="99">
      <c r="B99" s="153" t="inlineStr">
        <is>
          <t>TX-00094</t>
        </is>
      </c>
      <c r="C99" s="144" t="n">
        <v>46027</v>
      </c>
      <c r="D99" s="154" t="inlineStr"/>
      <c r="E99" s="137" t="inlineStr">
        <is>
          <t>Buy</t>
        </is>
      </c>
      <c r="F99" s="136" t="inlineStr">
        <is>
          <t>Dime FCD USD</t>
        </is>
      </c>
      <c r="G99" s="136" t="inlineStr">
        <is>
          <t>Dime US Stocks</t>
        </is>
      </c>
      <c r="H99" s="159" t="n">
        <v>8</v>
      </c>
      <c r="I99" s="137" t="inlineStr">
        <is>
          <t>USD</t>
        </is>
      </c>
      <c r="J99" s="155">
        <f>IFERROR(LOOKUP(2,1/(tblFX[Date]&lt;=[@Date]),tblFX[Rate]),XLOOKUP("CURRENT_FX_USDTHB",tblSettings[Key],tblSettings[Value]))</f>
        <v/>
      </c>
      <c r="K99" s="128">
        <f>H99*J99</f>
        <v/>
      </c>
      <c r="L99" s="137" t="inlineStr">
        <is>
          <t>Investment</t>
        </is>
      </c>
      <c r="M99" s="136" t="inlineStr">
        <is>
          <t>US Stocks</t>
        </is>
      </c>
      <c r="N99" s="137" t="inlineStr">
        <is>
          <t>AAPL</t>
        </is>
      </c>
      <c r="O99" s="156" t="n">
        <v>0.02966852836682168</v>
      </c>
      <c r="P99" s="157" t="n">
        <v>269.646</v>
      </c>
      <c r="Q99" s="146" t="n">
        <v>0</v>
      </c>
      <c r="R99" s="146" t="inlineStr"/>
      <c r="S99" s="142" t="inlineStr"/>
      <c r="T99" s="142" t="inlineStr">
        <is>
          <t>5 มกราคม 2569 — ซื้อวันที่ 5 ม.ค. 69 เวลา 21:05-21:59 น.</t>
        </is>
      </c>
      <c r="U99" s="142" t="inlineStr">
        <is>
          <t>USA STOCK HIS 2</t>
        </is>
      </c>
      <c r="V99" s="158" t="inlineStr">
        <is>
          <t>Confirmed</t>
        </is>
      </c>
      <c r="W99" s="146" t="n">
        <v>8</v>
      </c>
      <c r="X99" s="137" t="inlineStr">
        <is>
          <t>USD</t>
        </is>
      </c>
    </row>
    <row r="100">
      <c r="B100" s="153" t="inlineStr">
        <is>
          <t>TX-00095</t>
        </is>
      </c>
      <c r="C100" s="144" t="n">
        <v>46027</v>
      </c>
      <c r="D100" s="154" t="inlineStr"/>
      <c r="E100" s="137" t="inlineStr">
        <is>
          <t>Buy</t>
        </is>
      </c>
      <c r="F100" s="136" t="inlineStr">
        <is>
          <t>Dime FCD USD</t>
        </is>
      </c>
      <c r="G100" s="136" t="inlineStr">
        <is>
          <t>Dime US Stocks</t>
        </is>
      </c>
      <c r="H100" s="159" t="n">
        <v>8.5</v>
      </c>
      <c r="I100" s="137" t="inlineStr">
        <is>
          <t>USD</t>
        </is>
      </c>
      <c r="J100" s="155">
        <f>IFERROR(LOOKUP(2,1/(tblFX[Date]&lt;=[@Date]),tblFX[Rate]),XLOOKUP("CURRENT_FX_USDTHB",tblSettings[Key],tblSettings[Value]))</f>
        <v/>
      </c>
      <c r="K100" s="128">
        <f>H100*J100</f>
        <v/>
      </c>
      <c r="L100" s="137" t="inlineStr">
        <is>
          <t>Investment</t>
        </is>
      </c>
      <c r="M100" s="136" t="inlineStr">
        <is>
          <t>US Stocks</t>
        </is>
      </c>
      <c r="N100" s="137" t="inlineStr">
        <is>
          <t>AMPX</t>
        </is>
      </c>
      <c r="O100" s="156" t="n">
        <v>0.9185217203371515</v>
      </c>
      <c r="P100" s="157" t="n">
        <v>9.254</v>
      </c>
      <c r="Q100" s="146" t="n">
        <v>0</v>
      </c>
      <c r="R100" s="146" t="inlineStr"/>
      <c r="S100" s="142" t="inlineStr"/>
      <c r="T100" s="142" t="inlineStr">
        <is>
          <t>5 มกราคม 2569 — ซื้อวันที่ 5 ม.ค. 69 เวลา 21:05-21:59 น.</t>
        </is>
      </c>
      <c r="U100" s="142" t="inlineStr">
        <is>
          <t>USA STOCK HIS 2</t>
        </is>
      </c>
      <c r="V100" s="158" t="inlineStr">
        <is>
          <t>Confirmed</t>
        </is>
      </c>
      <c r="W100" s="146" t="n">
        <v>8.5</v>
      </c>
      <c r="X100" s="137" t="inlineStr">
        <is>
          <t>USD</t>
        </is>
      </c>
    </row>
    <row r="101">
      <c r="B101" s="153" t="inlineStr">
        <is>
          <t>TX-00096</t>
        </is>
      </c>
      <c r="C101" s="144" t="n">
        <v>46027</v>
      </c>
      <c r="D101" s="154" t="inlineStr"/>
      <c r="E101" s="137" t="inlineStr">
        <is>
          <t>Buy</t>
        </is>
      </c>
      <c r="F101" s="136" t="inlineStr">
        <is>
          <t>Dime FCD USD</t>
        </is>
      </c>
      <c r="G101" s="136" t="inlineStr">
        <is>
          <t>Dime US Stocks</t>
        </is>
      </c>
      <c r="H101" s="159" t="n">
        <v>10</v>
      </c>
      <c r="I101" s="137" t="inlineStr">
        <is>
          <t>USD</t>
        </is>
      </c>
      <c r="J101" s="155">
        <f>IFERROR(LOOKUP(2,1/(tblFX[Date]&lt;=[@Date]),tblFX[Rate]),XLOOKUP("CURRENT_FX_USDTHB",tblSettings[Key],tblSettings[Value]))</f>
        <v/>
      </c>
      <c r="K101" s="128">
        <f>H101*J101</f>
        <v/>
      </c>
      <c r="L101" s="137" t="inlineStr">
        <is>
          <t>Investment</t>
        </is>
      </c>
      <c r="M101" s="136" t="inlineStr">
        <is>
          <t>US Stocks</t>
        </is>
      </c>
      <c r="N101" s="137" t="inlineStr">
        <is>
          <t>AMZN</t>
        </is>
      </c>
      <c r="O101" s="156" t="n">
        <v>0.04335911755523952</v>
      </c>
      <c r="P101" s="157" t="n">
        <v>230.632</v>
      </c>
      <c r="Q101" s="146" t="n">
        <v>0</v>
      </c>
      <c r="R101" s="146" t="inlineStr"/>
      <c r="S101" s="142" t="inlineStr"/>
      <c r="T101" s="142" t="inlineStr">
        <is>
          <t>5 มกราคม 2569 (เพิ่ม) — ซื้อวันที่ 5 ม.ค. 69 เวลา 21:57:08 น. (พบจากภาพ IMG_6980)</t>
        </is>
      </c>
      <c r="U101" s="142" t="inlineStr">
        <is>
          <t>USA STOCK HIS 2</t>
        </is>
      </c>
      <c r="V101" s="158" t="inlineStr">
        <is>
          <t>Confirmed</t>
        </is>
      </c>
      <c r="W101" s="146" t="n">
        <v>10</v>
      </c>
      <c r="X101" s="137" t="inlineStr">
        <is>
          <t>USD</t>
        </is>
      </c>
    </row>
    <row r="102">
      <c r="B102" s="153" t="inlineStr">
        <is>
          <t>TX-00097</t>
        </is>
      </c>
      <c r="C102" s="144" t="n">
        <v>46027</v>
      </c>
      <c r="D102" s="154" t="inlineStr"/>
      <c r="E102" s="137" t="inlineStr">
        <is>
          <t>Buy</t>
        </is>
      </c>
      <c r="F102" s="136" t="inlineStr">
        <is>
          <t>Dime FCD USD</t>
        </is>
      </c>
      <c r="G102" s="136" t="inlineStr">
        <is>
          <t>Dime US Stocks</t>
        </is>
      </c>
      <c r="H102" s="159" t="n">
        <v>2</v>
      </c>
      <c r="I102" s="137" t="inlineStr">
        <is>
          <t>USD</t>
        </is>
      </c>
      <c r="J102" s="155">
        <f>IFERROR(LOOKUP(2,1/(tblFX[Date]&lt;=[@Date]),tblFX[Rate]),XLOOKUP("CURRENT_FX_USDTHB",tblSettings[Key],tblSettings[Value]))</f>
        <v/>
      </c>
      <c r="K102" s="128">
        <f>H102*J102</f>
        <v/>
      </c>
      <c r="L102" s="137" t="inlineStr">
        <is>
          <t>Investment</t>
        </is>
      </c>
      <c r="M102" s="136" t="inlineStr">
        <is>
          <t>US Stocks</t>
        </is>
      </c>
      <c r="N102" s="137" t="inlineStr">
        <is>
          <t>BEPC</t>
        </is>
      </c>
      <c r="O102" s="156" t="n">
        <v>0.05110906674844118</v>
      </c>
      <c r="P102" s="157" t="n">
        <v>39.132</v>
      </c>
      <c r="Q102" s="146" t="n">
        <v>0</v>
      </c>
      <c r="R102" s="146" t="inlineStr"/>
      <c r="S102" s="142" t="inlineStr"/>
      <c r="T102" s="142" t="inlineStr">
        <is>
          <t>5 มกราคม 2569 — ซื้อวันที่ 5 ม.ค. 69 เวลา 21:05-21:59 น.</t>
        </is>
      </c>
      <c r="U102" s="142" t="inlineStr">
        <is>
          <t>USA STOCK HIS 2</t>
        </is>
      </c>
      <c r="V102" s="158" t="inlineStr">
        <is>
          <t>Confirmed</t>
        </is>
      </c>
      <c r="W102" s="146" t="n">
        <v>2</v>
      </c>
      <c r="X102" s="137" t="inlineStr">
        <is>
          <t>USD</t>
        </is>
      </c>
    </row>
    <row r="103">
      <c r="B103" s="153" t="inlineStr">
        <is>
          <t>TX-00098</t>
        </is>
      </c>
      <c r="C103" s="144" t="n">
        <v>46027</v>
      </c>
      <c r="D103" s="154" t="inlineStr"/>
      <c r="E103" s="137" t="inlineStr">
        <is>
          <t>Buy</t>
        </is>
      </c>
      <c r="F103" s="136" t="inlineStr">
        <is>
          <t>Dime FCD USD</t>
        </is>
      </c>
      <c r="G103" s="136" t="inlineStr">
        <is>
          <t>Dime US Stocks</t>
        </is>
      </c>
      <c r="H103" s="159" t="n">
        <v>9</v>
      </c>
      <c r="I103" s="137" t="inlineStr">
        <is>
          <t>USD</t>
        </is>
      </c>
      <c r="J103" s="155">
        <f>IFERROR(LOOKUP(2,1/(tblFX[Date]&lt;=[@Date]),tblFX[Rate]),XLOOKUP("CURRENT_FX_USDTHB",tblSettings[Key],tblSettings[Value]))</f>
        <v/>
      </c>
      <c r="K103" s="128">
        <f>H103*J103</f>
        <v/>
      </c>
      <c r="L103" s="137" t="inlineStr">
        <is>
          <t>Investment</t>
        </is>
      </c>
      <c r="M103" s="136" t="inlineStr">
        <is>
          <t>US Stocks</t>
        </is>
      </c>
      <c r="N103" s="137" t="inlineStr">
        <is>
          <t>GOOGL</t>
        </is>
      </c>
      <c r="O103" s="156" t="n">
        <v>0.02840227723147225</v>
      </c>
      <c r="P103" s="157" t="n">
        <v>316.876</v>
      </c>
      <c r="Q103" s="146" t="n">
        <v>0</v>
      </c>
      <c r="R103" s="146" t="inlineStr"/>
      <c r="S103" s="142" t="inlineStr"/>
      <c r="T103" s="142" t="inlineStr">
        <is>
          <t>5 มกราคม 2569 — ซื้อวันที่ 5 ม.ค. 69 เวลา 21:05-21:59 น.</t>
        </is>
      </c>
      <c r="U103" s="142" t="inlineStr">
        <is>
          <t>USA STOCK HIS 2</t>
        </is>
      </c>
      <c r="V103" s="158" t="inlineStr">
        <is>
          <t>Confirmed</t>
        </is>
      </c>
      <c r="W103" s="146" t="n">
        <v>9</v>
      </c>
      <c r="X103" s="137" t="inlineStr">
        <is>
          <t>USD</t>
        </is>
      </c>
    </row>
    <row r="104">
      <c r="B104" s="153" t="inlineStr">
        <is>
          <t>TX-00099</t>
        </is>
      </c>
      <c r="C104" s="144" t="n">
        <v>46027</v>
      </c>
      <c r="D104" s="154" t="inlineStr"/>
      <c r="E104" s="137" t="inlineStr">
        <is>
          <t>Buy</t>
        </is>
      </c>
      <c r="F104" s="136" t="inlineStr">
        <is>
          <t>Dime FCD USD</t>
        </is>
      </c>
      <c r="G104" s="136" t="inlineStr">
        <is>
          <t>Dime US Stocks</t>
        </is>
      </c>
      <c r="H104" s="159" t="n">
        <v>2</v>
      </c>
      <c r="I104" s="137" t="inlineStr">
        <is>
          <t>USD</t>
        </is>
      </c>
      <c r="J104" s="155">
        <f>IFERROR(LOOKUP(2,1/(tblFX[Date]&lt;=[@Date]),tblFX[Rate]),XLOOKUP("CURRENT_FX_USDTHB",tblSettings[Key],tblSettings[Value]))</f>
        <v/>
      </c>
      <c r="K104" s="128">
        <f>H104*J104</f>
        <v/>
      </c>
      <c r="L104" s="137" t="inlineStr">
        <is>
          <t>Investment</t>
        </is>
      </c>
      <c r="M104" s="136" t="inlineStr">
        <is>
          <t>US Stocks</t>
        </is>
      </c>
      <c r="N104" s="137" t="inlineStr">
        <is>
          <t>LLY</t>
        </is>
      </c>
      <c r="O104" s="156" t="n">
        <v>0.001862214731980745</v>
      </c>
      <c r="P104" s="157" t="n">
        <v>1073.99</v>
      </c>
      <c r="Q104" s="146" t="n">
        <v>0</v>
      </c>
      <c r="R104" s="146" t="inlineStr"/>
      <c r="S104" s="142" t="inlineStr"/>
      <c r="T104" s="142" t="inlineStr">
        <is>
          <t>5 มกราคม 2569 — ซื้อวันที่ 5 ม.ค. 69 เวลา 21:05-21:59 น.</t>
        </is>
      </c>
      <c r="U104" s="142" t="inlineStr">
        <is>
          <t>USA STOCK HIS 2</t>
        </is>
      </c>
      <c r="V104" s="158" t="inlineStr">
        <is>
          <t>Confirmed</t>
        </is>
      </c>
      <c r="W104" s="146" t="n">
        <v>2</v>
      </c>
      <c r="X104" s="137" t="inlineStr">
        <is>
          <t>USD</t>
        </is>
      </c>
    </row>
    <row r="105">
      <c r="B105" s="153" t="inlineStr">
        <is>
          <t>TX-00100</t>
        </is>
      </c>
      <c r="C105" s="144" t="n">
        <v>46027</v>
      </c>
      <c r="D105" s="154" t="inlineStr"/>
      <c r="E105" s="137" t="inlineStr">
        <is>
          <t>Buy</t>
        </is>
      </c>
      <c r="F105" s="136" t="inlineStr">
        <is>
          <t>Dime FCD USD</t>
        </is>
      </c>
      <c r="G105" s="136" t="inlineStr">
        <is>
          <t>Dime US Stocks</t>
        </is>
      </c>
      <c r="H105" s="159" t="n">
        <v>14</v>
      </c>
      <c r="I105" s="137" t="inlineStr">
        <is>
          <t>USD</t>
        </is>
      </c>
      <c r="J105" s="155">
        <f>IFERROR(LOOKUP(2,1/(tblFX[Date]&lt;=[@Date]),tblFX[Rate]),XLOOKUP("CURRENT_FX_USDTHB",tblSettings[Key],tblSettings[Value]))</f>
        <v/>
      </c>
      <c r="K105" s="128">
        <f>H105*J105</f>
        <v/>
      </c>
      <c r="L105" s="137" t="inlineStr">
        <is>
          <t>Investment</t>
        </is>
      </c>
      <c r="M105" s="136" t="inlineStr">
        <is>
          <t>US Stocks</t>
        </is>
      </c>
      <c r="N105" s="137" t="inlineStr">
        <is>
          <t>META</t>
        </is>
      </c>
      <c r="O105" s="156" t="n">
        <v>0.0212630236019562</v>
      </c>
      <c r="P105" s="157" t="n">
        <v>658.42</v>
      </c>
      <c r="Q105" s="146" t="n">
        <v>0</v>
      </c>
      <c r="R105" s="146" t="inlineStr"/>
      <c r="S105" s="142" t="inlineStr"/>
      <c r="T105" s="142" t="inlineStr">
        <is>
          <t>5 มกราคม 2569 — ซื้อวันที่ 5 ม.ค. 69 เวลา 21:05-21:59 น.</t>
        </is>
      </c>
      <c r="U105" s="142" t="inlineStr">
        <is>
          <t>USA STOCK HIS 2</t>
        </is>
      </c>
      <c r="V105" s="158" t="inlineStr">
        <is>
          <t>Confirmed</t>
        </is>
      </c>
      <c r="W105" s="146" t="n">
        <v>14</v>
      </c>
      <c r="X105" s="137" t="inlineStr">
        <is>
          <t>USD</t>
        </is>
      </c>
    </row>
    <row r="106">
      <c r="B106" s="153" t="inlineStr">
        <is>
          <t>TX-00101</t>
        </is>
      </c>
      <c r="C106" s="144" t="n">
        <v>46027</v>
      </c>
      <c r="D106" s="154" t="inlineStr"/>
      <c r="E106" s="137" t="inlineStr">
        <is>
          <t>Buy</t>
        </is>
      </c>
      <c r="F106" s="136" t="inlineStr">
        <is>
          <t>Dime FCD USD</t>
        </is>
      </c>
      <c r="G106" s="136" t="inlineStr">
        <is>
          <t>Dime US Stocks</t>
        </is>
      </c>
      <c r="H106" s="159" t="n">
        <v>14</v>
      </c>
      <c r="I106" s="137" t="inlineStr">
        <is>
          <t>USD</t>
        </is>
      </c>
      <c r="J106" s="155">
        <f>IFERROR(LOOKUP(2,1/(tblFX[Date]&lt;=[@Date]),tblFX[Rate]),XLOOKUP("CURRENT_FX_USDTHB",tblSettings[Key],tblSettings[Value]))</f>
        <v/>
      </c>
      <c r="K106" s="128">
        <f>H106*J106</f>
        <v/>
      </c>
      <c r="L106" s="137" t="inlineStr">
        <is>
          <t>Investment</t>
        </is>
      </c>
      <c r="M106" s="136" t="inlineStr">
        <is>
          <t>US Stocks</t>
        </is>
      </c>
      <c r="N106" s="137" t="inlineStr">
        <is>
          <t>MSFT</t>
        </is>
      </c>
      <c r="O106" s="156" t="n">
        <v>0.02964343186245448</v>
      </c>
      <c r="P106" s="157" t="n">
        <v>472.28</v>
      </c>
      <c r="Q106" s="146" t="n">
        <v>0</v>
      </c>
      <c r="R106" s="146" t="inlineStr"/>
      <c r="S106" s="142" t="inlineStr"/>
      <c r="T106" s="142" t="inlineStr">
        <is>
          <t>5 มกราคม 2569 — ซื้อวันที่ 5 ม.ค. 69 เวลา 21:05-21:59 น.</t>
        </is>
      </c>
      <c r="U106" s="142" t="inlineStr">
        <is>
          <t>USA STOCK HIS 2</t>
        </is>
      </c>
      <c r="V106" s="158" t="inlineStr">
        <is>
          <t>Confirmed</t>
        </is>
      </c>
      <c r="W106" s="146" t="n">
        <v>14</v>
      </c>
      <c r="X106" s="137" t="inlineStr">
        <is>
          <t>USD</t>
        </is>
      </c>
    </row>
    <row r="107">
      <c r="B107" s="153" t="inlineStr">
        <is>
          <t>TX-00102</t>
        </is>
      </c>
      <c r="C107" s="144" t="n">
        <v>46027</v>
      </c>
      <c r="D107" s="154" t="inlineStr"/>
      <c r="E107" s="137" t="inlineStr">
        <is>
          <t>Buy</t>
        </is>
      </c>
      <c r="F107" s="136" t="inlineStr">
        <is>
          <t>Dime FCD USD</t>
        </is>
      </c>
      <c r="G107" s="136" t="inlineStr">
        <is>
          <t>Dime US Stocks</t>
        </is>
      </c>
      <c r="H107" s="159" t="n">
        <v>15</v>
      </c>
      <c r="I107" s="137" t="inlineStr">
        <is>
          <t>USD</t>
        </is>
      </c>
      <c r="J107" s="155">
        <f>IFERROR(LOOKUP(2,1/(tblFX[Date]&lt;=[@Date]),tblFX[Rate]),XLOOKUP("CURRENT_FX_USDTHB",tblSettings[Key],tblSettings[Value]))</f>
        <v/>
      </c>
      <c r="K107" s="128">
        <f>H107*J107</f>
        <v/>
      </c>
      <c r="L107" s="137" t="inlineStr">
        <is>
          <t>Investment</t>
        </is>
      </c>
      <c r="M107" s="136" t="inlineStr">
        <is>
          <t>US Stocks</t>
        </is>
      </c>
      <c r="N107" s="137" t="inlineStr">
        <is>
          <t>NVDA</t>
        </is>
      </c>
      <c r="O107" s="156" t="n">
        <v>0.07890666919168007</v>
      </c>
      <c r="P107" s="157" t="n">
        <v>190.098</v>
      </c>
      <c r="Q107" s="146" t="n">
        <v>0</v>
      </c>
      <c r="R107" s="146" t="inlineStr"/>
      <c r="S107" s="142" t="inlineStr"/>
      <c r="T107" s="142" t="inlineStr">
        <is>
          <t>5 มกราคม 2569 — ซื้อวันที่ 5 ม.ค. 69 เวลา 21:05-21:59 น.</t>
        </is>
      </c>
      <c r="U107" s="142" t="inlineStr">
        <is>
          <t>USA STOCK HIS 2</t>
        </is>
      </c>
      <c r="V107" s="158" t="inlineStr">
        <is>
          <t>Confirmed</t>
        </is>
      </c>
      <c r="W107" s="146" t="n">
        <v>15</v>
      </c>
      <c r="X107" s="137" t="inlineStr">
        <is>
          <t>USD</t>
        </is>
      </c>
    </row>
    <row r="108">
      <c r="B108" s="153" t="inlineStr">
        <is>
          <t>TX-00103</t>
        </is>
      </c>
      <c r="C108" s="144" t="n">
        <v>46027</v>
      </c>
      <c r="D108" s="154" t="inlineStr"/>
      <c r="E108" s="137" t="inlineStr">
        <is>
          <t>Buy</t>
        </is>
      </c>
      <c r="F108" s="136" t="inlineStr">
        <is>
          <t>Dime FCD USD</t>
        </is>
      </c>
      <c r="G108" s="136" t="inlineStr">
        <is>
          <t>Dime US Stocks</t>
        </is>
      </c>
      <c r="H108" s="159" t="n">
        <v>7</v>
      </c>
      <c r="I108" s="137" t="inlineStr">
        <is>
          <t>USD</t>
        </is>
      </c>
      <c r="J108" s="155">
        <f>IFERROR(LOOKUP(2,1/(tblFX[Date]&lt;=[@Date]),tblFX[Rate]),XLOOKUP("CURRENT_FX_USDTHB",tblSettings[Key],tblSettings[Value]))</f>
        <v/>
      </c>
      <c r="K108" s="128">
        <f>H108*J108</f>
        <v/>
      </c>
      <c r="L108" s="137" t="inlineStr">
        <is>
          <t>Investment</t>
        </is>
      </c>
      <c r="M108" s="136" t="inlineStr">
        <is>
          <t>US Stocks</t>
        </is>
      </c>
      <c r="N108" s="137" t="inlineStr">
        <is>
          <t>SCHD</t>
        </is>
      </c>
      <c r="O108" s="156" t="n">
        <v>0.251184153868236</v>
      </c>
      <c r="P108" s="157" t="n">
        <v>27.868</v>
      </c>
      <c r="Q108" s="146" t="n">
        <v>0</v>
      </c>
      <c r="R108" s="146" t="inlineStr"/>
      <c r="S108" s="142" t="inlineStr"/>
      <c r="T108" s="142" t="inlineStr">
        <is>
          <t>5 มกราคม 2569 — ซื้อวันที่ 5 ม.ค. 69 เวลา 21:05-21:59 น.</t>
        </is>
      </c>
      <c r="U108" s="142" t="inlineStr">
        <is>
          <t>USA STOCK HIS 2</t>
        </is>
      </c>
      <c r="V108" s="158" t="inlineStr">
        <is>
          <t>Confirmed</t>
        </is>
      </c>
      <c r="W108" s="146" t="n">
        <v>7</v>
      </c>
      <c r="X108" s="137" t="inlineStr">
        <is>
          <t>USD</t>
        </is>
      </c>
    </row>
    <row r="109">
      <c r="B109" s="153" t="inlineStr">
        <is>
          <t>TX-00104</t>
        </is>
      </c>
      <c r="C109" s="144" t="n">
        <v>46027</v>
      </c>
      <c r="D109" s="154" t="inlineStr"/>
      <c r="E109" s="137" t="inlineStr">
        <is>
          <t>Buy</t>
        </is>
      </c>
      <c r="F109" s="136" t="inlineStr">
        <is>
          <t>Dime FCD USD</t>
        </is>
      </c>
      <c r="G109" s="136" t="inlineStr">
        <is>
          <t>Dime US Stocks</t>
        </is>
      </c>
      <c r="H109" s="159" t="n">
        <v>9</v>
      </c>
      <c r="I109" s="137" t="inlineStr">
        <is>
          <t>USD</t>
        </is>
      </c>
      <c r="J109" s="155">
        <f>IFERROR(LOOKUP(2,1/(tblFX[Date]&lt;=[@Date]),tblFX[Rate]),XLOOKUP("CURRENT_FX_USDTHB",tblSettings[Key],tblSettings[Value]))</f>
        <v/>
      </c>
      <c r="K109" s="128">
        <f>H109*J109</f>
        <v/>
      </c>
      <c r="L109" s="137" t="inlineStr">
        <is>
          <t>Investment</t>
        </is>
      </c>
      <c r="M109" s="136" t="inlineStr">
        <is>
          <t>US Stocks</t>
        </is>
      </c>
      <c r="N109" s="137" t="inlineStr">
        <is>
          <t>SCHG</t>
        </is>
      </c>
      <c r="O109" s="156" t="n">
        <v>0.2750779387493123</v>
      </c>
      <c r="P109" s="157" t="n">
        <v>32.718</v>
      </c>
      <c r="Q109" s="146" t="n">
        <v>0</v>
      </c>
      <c r="R109" s="146" t="inlineStr"/>
      <c r="S109" s="142" t="inlineStr"/>
      <c r="T109" s="142" t="inlineStr">
        <is>
          <t>5 มกราคม 2569 — ซื้อวันที่ 5 ม.ค. 69 เวลา 21:05-21:59 น.</t>
        </is>
      </c>
      <c r="U109" s="142" t="inlineStr">
        <is>
          <t>USA STOCK HIS 2</t>
        </is>
      </c>
      <c r="V109" s="158" t="inlineStr">
        <is>
          <t>Confirmed</t>
        </is>
      </c>
      <c r="W109" s="146" t="n">
        <v>9</v>
      </c>
      <c r="X109" s="137" t="inlineStr">
        <is>
          <t>USD</t>
        </is>
      </c>
    </row>
    <row r="110">
      <c r="B110" s="153" t="inlineStr">
        <is>
          <t>TX-00105</t>
        </is>
      </c>
      <c r="C110" s="144" t="n">
        <v>46027</v>
      </c>
      <c r="D110" s="154" t="inlineStr"/>
      <c r="E110" s="137" t="inlineStr">
        <is>
          <t>Buy</t>
        </is>
      </c>
      <c r="F110" s="136" t="inlineStr">
        <is>
          <t>Dime FCD USD</t>
        </is>
      </c>
      <c r="G110" s="136" t="inlineStr">
        <is>
          <t>Dime US Stocks</t>
        </is>
      </c>
      <c r="H110" s="159" t="n">
        <v>5</v>
      </c>
      <c r="I110" s="137" t="inlineStr">
        <is>
          <t>USD</t>
        </is>
      </c>
      <c r="J110" s="155">
        <f>IFERROR(LOOKUP(2,1/(tblFX[Date]&lt;=[@Date]),tblFX[Rate]),XLOOKUP("CURRENT_FX_USDTHB",tblSettings[Key],tblSettings[Value]))</f>
        <v/>
      </c>
      <c r="K110" s="128">
        <f>H110*J110</f>
        <v/>
      </c>
      <c r="L110" s="137" t="inlineStr">
        <is>
          <t>Investment</t>
        </is>
      </c>
      <c r="M110" s="136" t="inlineStr">
        <is>
          <t>US Stocks</t>
        </is>
      </c>
      <c r="N110" s="137" t="inlineStr">
        <is>
          <t>UNH</t>
        </is>
      </c>
      <c r="O110" s="156" t="n">
        <v>0.01483767582645854</v>
      </c>
      <c r="P110" s="157" t="n">
        <v>336.98</v>
      </c>
      <c r="Q110" s="146" t="n">
        <v>0</v>
      </c>
      <c r="R110" s="146" t="inlineStr"/>
      <c r="S110" s="142" t="inlineStr"/>
      <c r="T110" s="142" t="inlineStr">
        <is>
          <t>5 มกราคม 2569 — ซื้อวันที่ 5 ม.ค. 69 เวลา 21:05-21:59 น.</t>
        </is>
      </c>
      <c r="U110" s="142" t="inlineStr">
        <is>
          <t>USA STOCK HIS 2</t>
        </is>
      </c>
      <c r="V110" s="158" t="inlineStr">
        <is>
          <t>Confirmed</t>
        </is>
      </c>
      <c r="W110" s="146" t="n">
        <v>5</v>
      </c>
      <c r="X110" s="137" t="inlineStr">
        <is>
          <t>USD</t>
        </is>
      </c>
    </row>
    <row r="111">
      <c r="B111" s="153" t="inlineStr">
        <is>
          <t>TX-00106</t>
        </is>
      </c>
      <c r="C111" s="144" t="n">
        <v>46027</v>
      </c>
      <c r="D111" s="154" t="inlineStr"/>
      <c r="E111" s="137" t="inlineStr">
        <is>
          <t>Buy</t>
        </is>
      </c>
      <c r="F111" s="136" t="inlineStr">
        <is>
          <t>Dime FCD USD</t>
        </is>
      </c>
      <c r="G111" s="136" t="inlineStr">
        <is>
          <t>Dime US Stocks</t>
        </is>
      </c>
      <c r="H111" s="159" t="n">
        <v>5</v>
      </c>
      <c r="I111" s="137" t="inlineStr">
        <is>
          <t>USD</t>
        </is>
      </c>
      <c r="J111" s="155">
        <f>IFERROR(LOOKUP(2,1/(tblFX[Date]&lt;=[@Date]),tblFX[Rate]),XLOOKUP("CURRENT_FX_USDTHB",tblSettings[Key],tblSettings[Value]))</f>
        <v/>
      </c>
      <c r="K111" s="128">
        <f>H111*J111</f>
        <v/>
      </c>
      <c r="L111" s="137" t="inlineStr">
        <is>
          <t>Investment</t>
        </is>
      </c>
      <c r="M111" s="136" t="inlineStr">
        <is>
          <t>US Stocks</t>
        </is>
      </c>
      <c r="N111" s="137" t="inlineStr">
        <is>
          <t>V</t>
        </is>
      </c>
      <c r="O111" s="156" t="n">
        <v>0.01422879908935686</v>
      </c>
      <c r="P111" s="157" t="n">
        <v>351.4</v>
      </c>
      <c r="Q111" s="146" t="n">
        <v>0</v>
      </c>
      <c r="R111" s="146" t="inlineStr"/>
      <c r="S111" s="142" t="inlineStr"/>
      <c r="T111" s="142" t="inlineStr">
        <is>
          <t>5 มกราคม 2569 — ซื้อวันที่ 5 ม.ค. 69 เวลา 21:05-21:59 น.</t>
        </is>
      </c>
      <c r="U111" s="142" t="inlineStr">
        <is>
          <t>USA STOCK HIS 2</t>
        </is>
      </c>
      <c r="V111" s="158" t="inlineStr">
        <is>
          <t>Confirmed</t>
        </is>
      </c>
      <c r="W111" s="146" t="n">
        <v>5</v>
      </c>
      <c r="X111" s="137" t="inlineStr">
        <is>
          <t>USD</t>
        </is>
      </c>
    </row>
    <row r="112">
      <c r="B112" s="153" t="inlineStr">
        <is>
          <t>TX-00107</t>
        </is>
      </c>
      <c r="C112" s="144" t="n">
        <v>46044</v>
      </c>
      <c r="D112" s="154" t="inlineStr">
        <is>
          <t>08:52:20</t>
        </is>
      </c>
      <c r="E112" s="137" t="inlineStr">
        <is>
          <t>Buy</t>
        </is>
      </c>
      <c r="F112" s="136" t="inlineStr">
        <is>
          <t>Dime Save THB</t>
        </is>
      </c>
      <c r="G112" s="136" t="inlineStr">
        <is>
          <t>Dime Gold</t>
        </is>
      </c>
      <c r="H112" s="130" t="n">
        <v>999.77</v>
      </c>
      <c r="I112" s="137" t="inlineStr">
        <is>
          <t>THB</t>
        </is>
      </c>
      <c r="J112" s="155" t="n">
        <v>1</v>
      </c>
      <c r="K112" s="128">
        <f>H112*J112</f>
        <v/>
      </c>
      <c r="L112" s="137" t="inlineStr">
        <is>
          <t>Investment</t>
        </is>
      </c>
      <c r="M112" s="136" t="inlineStr">
        <is>
          <t>Gold</t>
        </is>
      </c>
      <c r="N112" s="137" t="inlineStr">
        <is>
          <t>MTS-GOLD</t>
        </is>
      </c>
      <c r="O112" s="156" t="n">
        <v>0.0066</v>
      </c>
      <c r="P112" s="157" t="n">
        <v>4802.13</v>
      </c>
      <c r="Q112" s="146" t="n">
        <v>0</v>
      </c>
      <c r="R112" s="146" t="inlineStr"/>
      <c r="S112" s="142" t="inlineStr"/>
      <c r="T112" s="142" t="inlineStr"/>
      <c r="U112" s="142" t="inlineStr">
        <is>
          <t>Dime app IMG_7097-7102</t>
        </is>
      </c>
      <c r="V112" s="158" t="inlineStr">
        <is>
          <t>Confirmed</t>
        </is>
      </c>
      <c r="W112" s="146" t="n">
        <v>31.6941</v>
      </c>
      <c r="X112" s="137" t="inlineStr">
        <is>
          <t>USD</t>
        </is>
      </c>
    </row>
    <row r="113">
      <c r="B113" s="153" t="inlineStr">
        <is>
          <t>TX-00108</t>
        </is>
      </c>
      <c r="C113" s="144" t="n">
        <v>46044</v>
      </c>
      <c r="D113" s="154" t="inlineStr">
        <is>
          <t>08:52:21</t>
        </is>
      </c>
      <c r="E113" s="137" t="inlineStr">
        <is>
          <t>Transfer</t>
        </is>
      </c>
      <c r="F113" s="136" t="inlineStr">
        <is>
          <t>Dime Save THB</t>
        </is>
      </c>
      <c r="G113" s="136" t="inlineStr">
        <is>
          <t>Dime FCD USD</t>
        </is>
      </c>
      <c r="H113" s="130" t="n">
        <v>999.77</v>
      </c>
      <c r="I113" s="137" t="inlineStr">
        <is>
          <t>THB</t>
        </is>
      </c>
      <c r="J113" s="155" t="n">
        <v>1</v>
      </c>
      <c r="K113" s="128">
        <f>H113*J113</f>
        <v/>
      </c>
      <c r="L113" s="137" t="inlineStr">
        <is>
          <t>Transfer</t>
        </is>
      </c>
      <c r="M113" s="136" t="inlineStr">
        <is>
          <t>FX Conversion</t>
        </is>
      </c>
      <c r="N113" s="137" t="inlineStr"/>
      <c r="O113" s="156" t="inlineStr"/>
      <c r="P113" s="157" t="inlineStr"/>
      <c r="Q113" s="146" t="n">
        <v>0</v>
      </c>
      <c r="R113" s="146" t="inlineStr"/>
      <c r="S113" s="142" t="inlineStr"/>
      <c r="T113" s="142" t="inlineStr">
        <is>
          <t>แลก ฿999.77 -&gt; $31.86 @ 31.3801</t>
        </is>
      </c>
      <c r="U113" s="142" t="inlineStr">
        <is>
          <t>DIME EX</t>
        </is>
      </c>
      <c r="V113" s="158" t="inlineStr">
        <is>
          <t>Confirmed</t>
        </is>
      </c>
      <c r="W113" s="146" t="n">
        <v>31.86</v>
      </c>
      <c r="X113" s="137" t="inlineStr">
        <is>
          <t>USD</t>
        </is>
      </c>
    </row>
    <row r="114">
      <c r="B114" s="153" t="inlineStr">
        <is>
          <t>TX-00109</t>
        </is>
      </c>
      <c r="C114" s="144" t="n">
        <v>46050</v>
      </c>
      <c r="D114" s="154" t="inlineStr"/>
      <c r="E114" s="137" t="inlineStr">
        <is>
          <t>Buy</t>
        </is>
      </c>
      <c r="F114" s="136" t="inlineStr">
        <is>
          <t>Dime FCD USD</t>
        </is>
      </c>
      <c r="G114" s="136" t="inlineStr">
        <is>
          <t>Dime US Stocks</t>
        </is>
      </c>
      <c r="H114" s="159" t="n">
        <v>3</v>
      </c>
      <c r="I114" s="137" t="inlineStr">
        <is>
          <t>USD</t>
        </is>
      </c>
      <c r="J114" s="155">
        <f>IFERROR(LOOKUP(2,1/(tblFX[Date]&lt;=[@Date]),tblFX[Rate]),XLOOKUP("CURRENT_FX_USDTHB",tblSettings[Key],tblSettings[Value]))</f>
        <v/>
      </c>
      <c r="K114" s="128">
        <f>H114*J114</f>
        <v/>
      </c>
      <c r="L114" s="137" t="inlineStr">
        <is>
          <t>Investment</t>
        </is>
      </c>
      <c r="M114" s="136" t="inlineStr">
        <is>
          <t>US Stocks</t>
        </is>
      </c>
      <c r="N114" s="137" t="inlineStr">
        <is>
          <t>LLY</t>
        </is>
      </c>
      <c r="O114" s="156" t="n">
        <v>0.002950868047017164</v>
      </c>
      <c r="P114" s="157" t="n">
        <v>1016.65</v>
      </c>
      <c r="Q114" s="146" t="n">
        <v>0</v>
      </c>
      <c r="R114" s="146" t="inlineStr"/>
      <c r="S114" s="142" t="inlineStr"/>
      <c r="T114" s="142" t="inlineStr">
        <is>
          <t>28 มกราคม 2569 — ซื้อวันที่ 28 ม.ค. 69 เวลา 22:21-22:22 น.</t>
        </is>
      </c>
      <c r="U114" s="142" t="inlineStr">
        <is>
          <t>USA STOCK HIS 2</t>
        </is>
      </c>
      <c r="V114" s="158" t="inlineStr">
        <is>
          <t>Confirmed</t>
        </is>
      </c>
      <c r="W114" s="146" t="n">
        <v>3</v>
      </c>
      <c r="X114" s="137" t="inlineStr">
        <is>
          <t>USD</t>
        </is>
      </c>
    </row>
    <row r="115">
      <c r="B115" s="153" t="inlineStr">
        <is>
          <t>TX-00110</t>
        </is>
      </c>
      <c r="C115" s="144" t="n">
        <v>46050</v>
      </c>
      <c r="D115" s="154" t="inlineStr"/>
      <c r="E115" s="137" t="inlineStr">
        <is>
          <t>Buy</t>
        </is>
      </c>
      <c r="F115" s="136" t="inlineStr">
        <is>
          <t>Dime FCD USD</t>
        </is>
      </c>
      <c r="G115" s="136" t="inlineStr">
        <is>
          <t>Dime US Stocks</t>
        </is>
      </c>
      <c r="H115" s="159" t="n">
        <v>25</v>
      </c>
      <c r="I115" s="137" t="inlineStr">
        <is>
          <t>USD</t>
        </is>
      </c>
      <c r="J115" s="155">
        <f>IFERROR(LOOKUP(2,1/(tblFX[Date]&lt;=[@Date]),tblFX[Rate]),XLOOKUP("CURRENT_FX_USDTHB",tblSettings[Key],tblSettings[Value]))</f>
        <v/>
      </c>
      <c r="K115" s="128">
        <f>H115*J115</f>
        <v/>
      </c>
      <c r="L115" s="137" t="inlineStr">
        <is>
          <t>Investment</t>
        </is>
      </c>
      <c r="M115" s="136" t="inlineStr">
        <is>
          <t>US Stocks</t>
        </is>
      </c>
      <c r="N115" s="137" t="inlineStr">
        <is>
          <t>UNH</t>
        </is>
      </c>
      <c r="O115" s="156" t="n">
        <v>0.08678385959065789</v>
      </c>
      <c r="P115" s="157" t="n">
        <v>288.072</v>
      </c>
      <c r="Q115" s="146" t="n">
        <v>0</v>
      </c>
      <c r="R115" s="146" t="inlineStr"/>
      <c r="S115" s="142" t="inlineStr"/>
      <c r="T115" s="142" t="inlineStr">
        <is>
          <t>28 มกราคม 2569 — ซื้อวันที่ 28 ม.ค. 69 เวลา 22:21-22:22 น.</t>
        </is>
      </c>
      <c r="U115" s="142" t="inlineStr">
        <is>
          <t>USA STOCK HIS 2</t>
        </is>
      </c>
      <c r="V115" s="158" t="inlineStr">
        <is>
          <t>Confirmed</t>
        </is>
      </c>
      <c r="W115" s="146" t="n">
        <v>25</v>
      </c>
      <c r="X115" s="137" t="inlineStr">
        <is>
          <t>USD</t>
        </is>
      </c>
    </row>
    <row r="116">
      <c r="B116" s="153" t="inlineStr">
        <is>
          <t>TX-00111</t>
        </is>
      </c>
      <c r="C116" s="144" t="n">
        <v>46051</v>
      </c>
      <c r="D116" s="154" t="inlineStr"/>
      <c r="E116" s="137" t="inlineStr">
        <is>
          <t>Buy</t>
        </is>
      </c>
      <c r="F116" s="136" t="inlineStr">
        <is>
          <t>Dime FCD USD</t>
        </is>
      </c>
      <c r="G116" s="136" t="inlineStr">
        <is>
          <t>Dime US Stocks</t>
        </is>
      </c>
      <c r="H116" s="159" t="n">
        <v>20</v>
      </c>
      <c r="I116" s="137" t="inlineStr">
        <is>
          <t>USD</t>
        </is>
      </c>
      <c r="J116" s="155">
        <f>IFERROR(LOOKUP(2,1/(tblFX[Date]&lt;=[@Date]),tblFX[Rate]),XLOOKUP("CURRENT_FX_USDTHB",tblSettings[Key],tblSettings[Value]))</f>
        <v/>
      </c>
      <c r="K116" s="128">
        <f>H116*J116</f>
        <v/>
      </c>
      <c r="L116" s="137" t="inlineStr">
        <is>
          <t>Investment</t>
        </is>
      </c>
      <c r="M116" s="136" t="inlineStr">
        <is>
          <t>US Stocks</t>
        </is>
      </c>
      <c r="N116" s="137" t="inlineStr">
        <is>
          <t>MSFT</t>
        </is>
      </c>
      <c r="O116" s="156" t="n">
        <v>0.04723330892945705</v>
      </c>
      <c r="P116" s="157" t="n">
        <v>423.43</v>
      </c>
      <c r="Q116" s="146" t="n">
        <v>0</v>
      </c>
      <c r="R116" s="146" t="inlineStr"/>
      <c r="S116" s="142" t="inlineStr"/>
      <c r="T116" s="142" t="inlineStr">
        <is>
          <t>29 มกราคม 2569 — ซื้อวันที่ 29 ม.ค. 69 เวลา 23:47-23:49 น.</t>
        </is>
      </c>
      <c r="U116" s="142" t="inlineStr">
        <is>
          <t>USA STOCK HIS 2</t>
        </is>
      </c>
      <c r="V116" s="158" t="inlineStr">
        <is>
          <t>Confirmed</t>
        </is>
      </c>
      <c r="W116" s="146" t="n">
        <v>20</v>
      </c>
      <c r="X116" s="137" t="inlineStr">
        <is>
          <t>USD</t>
        </is>
      </c>
    </row>
    <row r="117">
      <c r="B117" s="153" t="inlineStr">
        <is>
          <t>TX-00112</t>
        </is>
      </c>
      <c r="C117" s="144" t="n">
        <v>46051</v>
      </c>
      <c r="D117" s="154" t="inlineStr"/>
      <c r="E117" s="137" t="inlineStr">
        <is>
          <t>Buy</t>
        </is>
      </c>
      <c r="F117" s="136" t="inlineStr">
        <is>
          <t>Dime FCD USD</t>
        </is>
      </c>
      <c r="G117" s="136" t="inlineStr">
        <is>
          <t>Dime US Stocks</t>
        </is>
      </c>
      <c r="H117" s="159" t="n">
        <v>2</v>
      </c>
      <c r="I117" s="137" t="inlineStr">
        <is>
          <t>USD</t>
        </is>
      </c>
      <c r="J117" s="155">
        <f>IFERROR(LOOKUP(2,1/(tblFX[Date]&lt;=[@Date]),tblFX[Rate]),XLOOKUP("CURRENT_FX_USDTHB",tblSettings[Key],tblSettings[Value]))</f>
        <v/>
      </c>
      <c r="K117" s="128">
        <f>H117*J117</f>
        <v/>
      </c>
      <c r="L117" s="137" t="inlineStr">
        <is>
          <t>Investment</t>
        </is>
      </c>
      <c r="M117" s="136" t="inlineStr">
        <is>
          <t>US Stocks</t>
        </is>
      </c>
      <c r="N117" s="137" t="inlineStr">
        <is>
          <t>PRCT</t>
        </is>
      </c>
      <c r="O117" s="156" t="n">
        <v>0.06887052341597796</v>
      </c>
      <c r="P117" s="157" t="n">
        <v>29.04</v>
      </c>
      <c r="Q117" s="146" t="n">
        <v>0</v>
      </c>
      <c r="R117" s="146" t="inlineStr"/>
      <c r="S117" s="142" t="inlineStr"/>
      <c r="T117" s="142" t="inlineStr">
        <is>
          <t>29 มกราคม 2569 — ซื้อวันที่ 29 ม.ค. 69 เวลา 23:47-23:49 น.</t>
        </is>
      </c>
      <c r="U117" s="142" t="inlineStr">
        <is>
          <t>USA STOCK HIS 2</t>
        </is>
      </c>
      <c r="V117" s="158" t="inlineStr">
        <is>
          <t>Confirmed</t>
        </is>
      </c>
      <c r="W117" s="146" t="n">
        <v>2</v>
      </c>
      <c r="X117" s="137" t="inlineStr">
        <is>
          <t>USD</t>
        </is>
      </c>
    </row>
    <row r="118">
      <c r="B118" s="153" t="inlineStr">
        <is>
          <t>TX-00113</t>
        </is>
      </c>
      <c r="C118" s="144" t="n">
        <v>46051</v>
      </c>
      <c r="D118" s="154" t="inlineStr"/>
      <c r="E118" s="137" t="inlineStr">
        <is>
          <t>Buy</t>
        </is>
      </c>
      <c r="F118" s="136" t="inlineStr">
        <is>
          <t>Dime FCD USD</t>
        </is>
      </c>
      <c r="G118" s="136" t="inlineStr">
        <is>
          <t>Dime US Stocks</t>
        </is>
      </c>
      <c r="H118" s="159" t="n">
        <v>12</v>
      </c>
      <c r="I118" s="137" t="inlineStr">
        <is>
          <t>USD</t>
        </is>
      </c>
      <c r="J118" s="155">
        <f>IFERROR(LOOKUP(2,1/(tblFX[Date]&lt;=[@Date]),tblFX[Rate]),XLOOKUP("CURRENT_FX_USDTHB",tblSettings[Key],tblSettings[Value]))</f>
        <v/>
      </c>
      <c r="K118" s="128">
        <f>H118*J118</f>
        <v/>
      </c>
      <c r="L118" s="137" t="inlineStr">
        <is>
          <t>Investment</t>
        </is>
      </c>
      <c r="M118" s="136" t="inlineStr">
        <is>
          <t>US Stocks</t>
        </is>
      </c>
      <c r="N118" s="137" t="inlineStr">
        <is>
          <t>SCHG</t>
        </is>
      </c>
      <c r="O118" s="156" t="n">
        <v>0.376081233546446</v>
      </c>
      <c r="P118" s="157" t="n">
        <v>31.908</v>
      </c>
      <c r="Q118" s="146" t="n">
        <v>0</v>
      </c>
      <c r="R118" s="146" t="inlineStr"/>
      <c r="S118" s="142" t="inlineStr"/>
      <c r="T118" s="142" t="inlineStr">
        <is>
          <t>29 มกราคม 2569 — ซื้อวันที่ 29 ม.ค. 69 เวลา 23:47-23:49 น.</t>
        </is>
      </c>
      <c r="U118" s="142" t="inlineStr">
        <is>
          <t>USA STOCK HIS 2</t>
        </is>
      </c>
      <c r="V118" s="158" t="inlineStr">
        <is>
          <t>Confirmed</t>
        </is>
      </c>
      <c r="W118" s="146" t="n">
        <v>12</v>
      </c>
      <c r="X118" s="137" t="inlineStr">
        <is>
          <t>USD</t>
        </is>
      </c>
    </row>
    <row r="119">
      <c r="B119" s="153" t="inlineStr">
        <is>
          <t>TX-00114</t>
        </is>
      </c>
      <c r="C119" s="144" t="n">
        <v>46051</v>
      </c>
      <c r="D119" s="154" t="inlineStr"/>
      <c r="E119" s="137" t="inlineStr">
        <is>
          <t>Buy</t>
        </is>
      </c>
      <c r="F119" s="136" t="inlineStr">
        <is>
          <t>Dime FCD USD</t>
        </is>
      </c>
      <c r="G119" s="136" t="inlineStr">
        <is>
          <t>Dime US Stocks</t>
        </is>
      </c>
      <c r="H119" s="159" t="n">
        <v>10</v>
      </c>
      <c r="I119" s="137" t="inlineStr">
        <is>
          <t>USD</t>
        </is>
      </c>
      <c r="J119" s="155">
        <f>IFERROR(LOOKUP(2,1/(tblFX[Date]&lt;=[@Date]),tblFX[Rate]),XLOOKUP("CURRENT_FX_USDTHB",tblSettings[Key],tblSettings[Value]))</f>
        <v/>
      </c>
      <c r="K119" s="128">
        <f>H119*J119</f>
        <v/>
      </c>
      <c r="L119" s="137" t="inlineStr">
        <is>
          <t>Investment</t>
        </is>
      </c>
      <c r="M119" s="136" t="inlineStr">
        <is>
          <t>US Stocks</t>
        </is>
      </c>
      <c r="N119" s="137" t="inlineStr">
        <is>
          <t>V</t>
        </is>
      </c>
      <c r="O119" s="156" t="n">
        <v>0.0303425675880693</v>
      </c>
      <c r="P119" s="157" t="n">
        <v>329.57</v>
      </c>
      <c r="Q119" s="146" t="n">
        <v>0</v>
      </c>
      <c r="R119" s="146" t="inlineStr"/>
      <c r="S119" s="142" t="inlineStr"/>
      <c r="T119" s="142" t="inlineStr">
        <is>
          <t>29 มกราคม 2569 — ซื้อวันที่ 29 ม.ค. 69 เวลา 23:47-23:49 น.</t>
        </is>
      </c>
      <c r="U119" s="142" t="inlineStr">
        <is>
          <t>USA STOCK HIS 2</t>
        </is>
      </c>
      <c r="V119" s="158" t="inlineStr">
        <is>
          <t>Confirmed</t>
        </is>
      </c>
      <c r="W119" s="146" t="n">
        <v>10</v>
      </c>
      <c r="X119" s="137" t="inlineStr">
        <is>
          <t>USD</t>
        </is>
      </c>
    </row>
    <row r="120">
      <c r="B120" s="153" t="inlineStr">
        <is>
          <t>TX-00115</t>
        </is>
      </c>
      <c r="C120" s="144" t="n">
        <v>46051</v>
      </c>
      <c r="D120" s="154" t="inlineStr">
        <is>
          <t>19:29:52</t>
        </is>
      </c>
      <c r="E120" s="137" t="inlineStr">
        <is>
          <t>Buy</t>
        </is>
      </c>
      <c r="F120" s="136" t="inlineStr">
        <is>
          <t>Dime FCD USD</t>
        </is>
      </c>
      <c r="G120" s="136" t="inlineStr">
        <is>
          <t>Dime Gold</t>
        </is>
      </c>
      <c r="H120" s="159" t="n">
        <v>49.87</v>
      </c>
      <c r="I120" s="137" t="inlineStr">
        <is>
          <t>USD</t>
        </is>
      </c>
      <c r="J120" s="155">
        <f>IFERROR(LOOKUP(2,1/(tblFX[Date]&lt;=[@Date]),tblFX[Rate]),XLOOKUP("CURRENT_FX_USDTHB",tblSettings[Key],tblSettings[Value]))</f>
        <v/>
      </c>
      <c r="K120" s="128">
        <f>H120*J120</f>
        <v/>
      </c>
      <c r="L120" s="137" t="inlineStr">
        <is>
          <t>Investment</t>
        </is>
      </c>
      <c r="M120" s="136" t="inlineStr">
        <is>
          <t>Gold</t>
        </is>
      </c>
      <c r="N120" s="137" t="inlineStr">
        <is>
          <t>MTS-GOLD</t>
        </is>
      </c>
      <c r="O120" s="156" t="n">
        <v>0.008999999999999999</v>
      </c>
      <c r="P120" s="157" t="n">
        <v>5541.53</v>
      </c>
      <c r="Q120" s="146" t="n">
        <v>0</v>
      </c>
      <c r="R120" s="146" t="inlineStr"/>
      <c r="S120" s="142" t="inlineStr"/>
      <c r="T120" s="142" t="inlineStr"/>
      <c r="U120" s="142" t="inlineStr">
        <is>
          <t>Dime app IMG_7097-7102</t>
        </is>
      </c>
      <c r="V120" s="158" t="inlineStr">
        <is>
          <t>Confirmed</t>
        </is>
      </c>
      <c r="W120" s="146" t="n">
        <v>49.87</v>
      </c>
      <c r="X120" s="137" t="inlineStr">
        <is>
          <t>USD</t>
        </is>
      </c>
    </row>
    <row r="121">
      <c r="B121" s="153" t="inlineStr">
        <is>
          <t>TX-00116</t>
        </is>
      </c>
      <c r="C121" s="144" t="n">
        <v>46054</v>
      </c>
      <c r="D121" s="154" t="inlineStr"/>
      <c r="E121" s="137" t="inlineStr">
        <is>
          <t>PVD Contribution</t>
        </is>
      </c>
      <c r="F121" s="136" t="inlineStr">
        <is>
          <t>N/A</t>
        </is>
      </c>
      <c r="G121" s="136" t="inlineStr">
        <is>
          <t>PVD</t>
        </is>
      </c>
      <c r="H121" s="130" t="n">
        <v>2841.75</v>
      </c>
      <c r="I121" s="137" t="inlineStr">
        <is>
          <t>THB</t>
        </is>
      </c>
      <c r="J121" s="155" t="n">
        <v>1</v>
      </c>
      <c r="K121" s="128">
        <f>H121*J121</f>
        <v/>
      </c>
      <c r="L121" s="137" t="inlineStr">
        <is>
          <t>Investment</t>
        </is>
      </c>
      <c r="M121" s="136" t="inlineStr">
        <is>
          <t>PVD</t>
        </is>
      </c>
      <c r="N121" s="137" t="inlineStr">
        <is>
          <t>PVD</t>
        </is>
      </c>
      <c r="O121" s="156" t="inlineStr"/>
      <c r="P121" s="157" t="inlineStr"/>
      <c r="Q121" s="146" t="n">
        <v>0</v>
      </c>
      <c r="R121" s="146" t="inlineStr"/>
      <c r="S121" s="142" t="inlineStr">
        <is>
          <t>PVD Deduction (ลดหย่อนภาษี)</t>
        </is>
      </c>
      <c r="T121" s="142" t="inlineStr">
        <is>
          <t>เงินสะสมพนักงาน (หักจากเงินเดือนก่อนเข้าบัญชี) — กุมภาพันธ์ 2569</t>
        </is>
      </c>
      <c r="U121" s="142" t="inlineStr">
        <is>
          <t>PVD HIS (delta)</t>
        </is>
      </c>
      <c r="V121" s="158" t="inlineStr">
        <is>
          <t>Confirmed</t>
        </is>
      </c>
      <c r="W121" s="128" t="n">
        <v>2841.75</v>
      </c>
      <c r="X121" s="137" t="inlineStr">
        <is>
          <t>THB</t>
        </is>
      </c>
    </row>
    <row r="122">
      <c r="B122" s="153" t="inlineStr">
        <is>
          <t>TX-00117</t>
        </is>
      </c>
      <c r="C122" s="144" t="n">
        <v>46054</v>
      </c>
      <c r="D122" s="154" t="inlineStr"/>
      <c r="E122" s="137" t="inlineStr">
        <is>
          <t>PVD Employer</t>
        </is>
      </c>
      <c r="F122" s="136" t="inlineStr">
        <is>
          <t>N/A</t>
        </is>
      </c>
      <c r="G122" s="136" t="inlineStr">
        <is>
          <t>PVD</t>
        </is>
      </c>
      <c r="H122" s="130" t="n">
        <v>2273.4</v>
      </c>
      <c r="I122" s="137" t="inlineStr">
        <is>
          <t>THB</t>
        </is>
      </c>
      <c r="J122" s="155" t="n">
        <v>1</v>
      </c>
      <c r="K122" s="128">
        <f>H122*J122</f>
        <v/>
      </c>
      <c r="L122" s="137" t="inlineStr">
        <is>
          <t>Investment</t>
        </is>
      </c>
      <c r="M122" s="136" t="inlineStr">
        <is>
          <t>PVD</t>
        </is>
      </c>
      <c r="N122" s="137" t="inlineStr">
        <is>
          <t>PVD</t>
        </is>
      </c>
      <c r="O122" s="156" t="inlineStr"/>
      <c r="P122" s="157" t="inlineStr"/>
      <c r="Q122" s="146" t="n">
        <v>0</v>
      </c>
      <c r="R122" s="146" t="inlineStr"/>
      <c r="S122" s="142" t="inlineStr">
        <is>
          <t>Employer Contribution (ไม่เป็นเงินได้)</t>
        </is>
      </c>
      <c r="T122" s="142" t="inlineStr">
        <is>
          <t>เงินสมทบนายจ้าง — กุมภาพันธ์ 2569</t>
        </is>
      </c>
      <c r="U122" s="142" t="inlineStr">
        <is>
          <t>PVD HIS (delta)</t>
        </is>
      </c>
      <c r="V122" s="158" t="inlineStr">
        <is>
          <t>Confirmed</t>
        </is>
      </c>
      <c r="W122" s="128" t="n">
        <v>2273.4</v>
      </c>
      <c r="X122" s="137" t="inlineStr">
        <is>
          <t>THB</t>
        </is>
      </c>
    </row>
    <row r="123">
      <c r="B123" s="153" t="inlineStr">
        <is>
          <t>TX-00118</t>
        </is>
      </c>
      <c r="C123" s="144" t="n">
        <v>46058</v>
      </c>
      <c r="D123" s="154" t="inlineStr">
        <is>
          <t>14:08:49</t>
        </is>
      </c>
      <c r="E123" s="137" t="inlineStr">
        <is>
          <t>Transfer</t>
        </is>
      </c>
      <c r="F123" s="136" t="inlineStr">
        <is>
          <t>N/A</t>
        </is>
      </c>
      <c r="G123" s="136" t="inlineStr">
        <is>
          <t>Dime Save THB</t>
        </is>
      </c>
      <c r="H123" s="130" t="n">
        <v>4000</v>
      </c>
      <c r="I123" s="137" t="inlineStr">
        <is>
          <t>THB</t>
        </is>
      </c>
      <c r="J123" s="155" t="n">
        <v>1</v>
      </c>
      <c r="K123" s="128">
        <f>H123*J123</f>
        <v/>
      </c>
      <c r="L123" s="137" t="inlineStr">
        <is>
          <t>Transfer</t>
        </is>
      </c>
      <c r="M123" s="136" t="inlineStr">
        <is>
          <t>Incoming Funding</t>
        </is>
      </c>
      <c r="N123" s="137" t="inlineStr"/>
      <c r="O123" s="156" t="inlineStr"/>
      <c r="P123" s="157" t="inlineStr"/>
      <c r="Q123" s="146" t="n">
        <v>0</v>
      </c>
      <c r="R123" s="146" t="inlineStr"/>
      <c r="S123" s="142" t="inlineStr"/>
      <c r="T123" s="142" t="inlineStr">
        <is>
          <t>ต้นทางยังไม่ระบุในหลักฐาน — ต้องยืนยันว่าเป็นบัญชีตัวเอง (Transfer) หรือรายได้ (Income)</t>
        </is>
      </c>
      <c r="U123" s="142" t="inlineStr">
        <is>
          <t>ประวัติโยกเงิน</t>
        </is>
      </c>
      <c r="V123" s="160" t="inlineStr">
        <is>
          <t>Pending</t>
        </is>
      </c>
      <c r="W123" s="128" t="n">
        <v>4000</v>
      </c>
      <c r="X123" s="137" t="inlineStr">
        <is>
          <t>THB</t>
        </is>
      </c>
    </row>
    <row r="124">
      <c r="B124" s="153" t="inlineStr">
        <is>
          <t>TX-00119</t>
        </is>
      </c>
      <c r="C124" s="144" t="n">
        <v>46059</v>
      </c>
      <c r="D124" s="154" t="inlineStr"/>
      <c r="E124" s="137" t="inlineStr">
        <is>
          <t>Buy</t>
        </is>
      </c>
      <c r="F124" s="136" t="inlineStr">
        <is>
          <t>Dime FCD USD</t>
        </is>
      </c>
      <c r="G124" s="136" t="inlineStr">
        <is>
          <t>Dime US Stocks</t>
        </is>
      </c>
      <c r="H124" s="159" t="n">
        <v>5</v>
      </c>
      <c r="I124" s="137" t="inlineStr">
        <is>
          <t>USD</t>
        </is>
      </c>
      <c r="J124" s="155">
        <f>IFERROR(LOOKUP(2,1/(tblFX[Date]&lt;=[@Date]),tblFX[Rate]),XLOOKUP("CURRENT_FX_USDTHB",tblSettings[Key],tblSettings[Value]))</f>
        <v/>
      </c>
      <c r="K124" s="128">
        <f>H124*J124</f>
        <v/>
      </c>
      <c r="L124" s="137" t="inlineStr">
        <is>
          <t>Investment</t>
        </is>
      </c>
      <c r="M124" s="136" t="inlineStr">
        <is>
          <t>US Stocks</t>
        </is>
      </c>
      <c r="N124" s="137" t="inlineStr">
        <is>
          <t>AMZN</t>
        </is>
      </c>
      <c r="O124" s="156" t="n">
        <v>0.02487438435898712</v>
      </c>
      <c r="P124" s="157" t="n">
        <v>201.01</v>
      </c>
      <c r="Q124" s="146" t="n">
        <v>0</v>
      </c>
      <c r="R124" s="146" t="inlineStr"/>
      <c r="S124" s="142" t="inlineStr"/>
      <c r="T124" s="142" t="inlineStr">
        <is>
          <t>6 กุมภาพันธ์ 2569 — ซื้อวันที่ 6 ก.พ. 69 เวลา 21:29-21:32 น.</t>
        </is>
      </c>
      <c r="U124" s="142" t="inlineStr">
        <is>
          <t>USA STOCK HIS 2</t>
        </is>
      </c>
      <c r="V124" s="158" t="inlineStr">
        <is>
          <t>Confirmed</t>
        </is>
      </c>
      <c r="W124" s="146" t="n">
        <v>5</v>
      </c>
      <c r="X124" s="137" t="inlineStr">
        <is>
          <t>USD</t>
        </is>
      </c>
    </row>
    <row r="125">
      <c r="B125" s="153" t="inlineStr">
        <is>
          <t>TX-00120</t>
        </is>
      </c>
      <c r="C125" s="144" t="n">
        <v>46059</v>
      </c>
      <c r="D125" s="154" t="inlineStr"/>
      <c r="E125" s="137" t="inlineStr">
        <is>
          <t>Buy</t>
        </is>
      </c>
      <c r="F125" s="136" t="inlineStr">
        <is>
          <t>Dime FCD USD</t>
        </is>
      </c>
      <c r="G125" s="136" t="inlineStr">
        <is>
          <t>Dime US Stocks</t>
        </is>
      </c>
      <c r="H125" s="159" t="n">
        <v>4</v>
      </c>
      <c r="I125" s="137" t="inlineStr">
        <is>
          <t>USD</t>
        </is>
      </c>
      <c r="J125" s="155">
        <f>IFERROR(LOOKUP(2,1/(tblFX[Date]&lt;=[@Date]),tblFX[Rate]),XLOOKUP("CURRENT_FX_USDTHB",tblSettings[Key],tblSettings[Value]))</f>
        <v/>
      </c>
      <c r="K125" s="128">
        <f>H125*J125</f>
        <v/>
      </c>
      <c r="L125" s="137" t="inlineStr">
        <is>
          <t>Investment</t>
        </is>
      </c>
      <c r="M125" s="136" t="inlineStr">
        <is>
          <t>US Stocks</t>
        </is>
      </c>
      <c r="N125" s="137" t="inlineStr">
        <is>
          <t>META</t>
        </is>
      </c>
      <c r="O125" s="156" t="n">
        <v>0.005994233547327471</v>
      </c>
      <c r="P125" s="157" t="n">
        <v>667.308</v>
      </c>
      <c r="Q125" s="146" t="n">
        <v>0</v>
      </c>
      <c r="R125" s="146" t="inlineStr"/>
      <c r="S125" s="142" t="inlineStr"/>
      <c r="T125" s="142" t="inlineStr">
        <is>
          <t>6 กุมภาพันธ์ 2569 — ซื้อวันที่ 6 ก.พ. 69 เวลา 21:29-21:32 น.</t>
        </is>
      </c>
      <c r="U125" s="142" t="inlineStr">
        <is>
          <t>USA STOCK HIS 2</t>
        </is>
      </c>
      <c r="V125" s="158" t="inlineStr">
        <is>
          <t>Confirmed</t>
        </is>
      </c>
      <c r="W125" s="146" t="n">
        <v>4</v>
      </c>
      <c r="X125" s="137" t="inlineStr">
        <is>
          <t>USD</t>
        </is>
      </c>
    </row>
    <row r="126">
      <c r="B126" s="153" t="inlineStr">
        <is>
          <t>TX-00121</t>
        </is>
      </c>
      <c r="C126" s="144" t="n">
        <v>46059</v>
      </c>
      <c r="D126" s="154" t="inlineStr"/>
      <c r="E126" s="137" t="inlineStr">
        <is>
          <t>Buy</t>
        </is>
      </c>
      <c r="F126" s="136" t="inlineStr">
        <is>
          <t>Dime FCD USD</t>
        </is>
      </c>
      <c r="G126" s="136" t="inlineStr">
        <is>
          <t>Dime US Stocks</t>
        </is>
      </c>
      <c r="H126" s="159" t="n">
        <v>25</v>
      </c>
      <c r="I126" s="137" t="inlineStr">
        <is>
          <t>USD</t>
        </is>
      </c>
      <c r="J126" s="155">
        <f>IFERROR(LOOKUP(2,1/(tblFX[Date]&lt;=[@Date]),tblFX[Rate]),XLOOKUP("CURRENT_FX_USDTHB",tblSettings[Key],tblSettings[Value]))</f>
        <v/>
      </c>
      <c r="K126" s="128">
        <f>H126*J126</f>
        <v/>
      </c>
      <c r="L126" s="137" t="inlineStr">
        <is>
          <t>Investment</t>
        </is>
      </c>
      <c r="M126" s="136" t="inlineStr">
        <is>
          <t>US Stocks</t>
        </is>
      </c>
      <c r="N126" s="137" t="inlineStr">
        <is>
          <t>NVDA</t>
        </is>
      </c>
      <c r="O126" s="156" t="n">
        <v>0.1415708703777111</v>
      </c>
      <c r="P126" s="157" t="n">
        <v>176.59</v>
      </c>
      <c r="Q126" s="146" t="n">
        <v>0</v>
      </c>
      <c r="R126" s="146" t="inlineStr"/>
      <c r="S126" s="142" t="inlineStr"/>
      <c r="T126" s="142" t="inlineStr">
        <is>
          <t>6 กุมภาพันธ์ 2569 — ซื้อวันที่ 6 ก.พ. 69 เวลา 21:29-21:32 น.</t>
        </is>
      </c>
      <c r="U126" s="142" t="inlineStr">
        <is>
          <t>USA STOCK HIS 2</t>
        </is>
      </c>
      <c r="V126" s="158" t="inlineStr">
        <is>
          <t>Confirmed</t>
        </is>
      </c>
      <c r="W126" s="146" t="n">
        <v>25</v>
      </c>
      <c r="X126" s="137" t="inlineStr">
        <is>
          <t>USD</t>
        </is>
      </c>
    </row>
    <row r="127">
      <c r="B127" s="153" t="inlineStr">
        <is>
          <t>TX-00122</t>
        </is>
      </c>
      <c r="C127" s="144" t="n">
        <v>46064</v>
      </c>
      <c r="D127" s="154" t="inlineStr"/>
      <c r="E127" s="137" t="inlineStr">
        <is>
          <t>Buy</t>
        </is>
      </c>
      <c r="F127" s="136" t="inlineStr">
        <is>
          <t>Dime FCD USD</t>
        </is>
      </c>
      <c r="G127" s="136" t="inlineStr">
        <is>
          <t>Dime US Stocks</t>
        </is>
      </c>
      <c r="H127" s="159" t="n">
        <v>5</v>
      </c>
      <c r="I127" s="137" t="inlineStr">
        <is>
          <t>USD</t>
        </is>
      </c>
      <c r="J127" s="155">
        <f>IFERROR(LOOKUP(2,1/(tblFX[Date]&lt;=[@Date]),tblFX[Rate]),XLOOKUP("CURRENT_FX_USDTHB",tblSettings[Key],tblSettings[Value]))</f>
        <v/>
      </c>
      <c r="K127" s="128">
        <f>H127*J127</f>
        <v/>
      </c>
      <c r="L127" s="137" t="inlineStr">
        <is>
          <t>Investment</t>
        </is>
      </c>
      <c r="M127" s="136" t="inlineStr">
        <is>
          <t>US Stocks</t>
        </is>
      </c>
      <c r="N127" s="137" t="inlineStr">
        <is>
          <t>GOOGL</t>
        </is>
      </c>
      <c r="O127" s="156" t="n">
        <v>0.01582318539709866</v>
      </c>
      <c r="P127" s="157" t="n">
        <v>315.992</v>
      </c>
      <c r="Q127" s="146" t="n">
        <v>0</v>
      </c>
      <c r="R127" s="146" t="inlineStr"/>
      <c r="S127" s="142" t="inlineStr"/>
      <c r="T127" s="142" t="inlineStr">
        <is>
          <t>11 กุมภาพันธ์ 2569 — ซื้อวันที่ 11 ก.พ. 69 เวลา 21:59 น.</t>
        </is>
      </c>
      <c r="U127" s="142" t="inlineStr">
        <is>
          <t>USA STOCK HIS 2</t>
        </is>
      </c>
      <c r="V127" s="158" t="inlineStr">
        <is>
          <t>Confirmed</t>
        </is>
      </c>
      <c r="W127" s="146" t="n">
        <v>5</v>
      </c>
      <c r="X127" s="137" t="inlineStr">
        <is>
          <t>USD</t>
        </is>
      </c>
    </row>
    <row r="128">
      <c r="B128" s="153" t="inlineStr">
        <is>
          <t>TX-00123</t>
        </is>
      </c>
      <c r="C128" s="144" t="n">
        <v>46066</v>
      </c>
      <c r="D128" s="154" t="inlineStr">
        <is>
          <t>07:19:02</t>
        </is>
      </c>
      <c r="E128" s="137" t="inlineStr">
        <is>
          <t>Buy</t>
        </is>
      </c>
      <c r="F128" s="136" t="inlineStr">
        <is>
          <t>Dime FCD USD</t>
        </is>
      </c>
      <c r="G128" s="136" t="inlineStr">
        <is>
          <t>Dime Gold</t>
        </is>
      </c>
      <c r="H128" s="159" t="n">
        <v>24.72</v>
      </c>
      <c r="I128" s="137" t="inlineStr">
        <is>
          <t>USD</t>
        </is>
      </c>
      <c r="J128" s="155">
        <f>IFERROR(LOOKUP(2,1/(tblFX[Date]&lt;=[@Date]),tblFX[Rate]),XLOOKUP("CURRENT_FX_USDTHB",tblSettings[Key],tblSettings[Value]))</f>
        <v/>
      </c>
      <c r="K128" s="128">
        <f>H128*J128</f>
        <v/>
      </c>
      <c r="L128" s="137" t="inlineStr">
        <is>
          <t>Investment</t>
        </is>
      </c>
      <c r="M128" s="136" t="inlineStr">
        <is>
          <t>Gold</t>
        </is>
      </c>
      <c r="N128" s="137" t="inlineStr">
        <is>
          <t>MTS-GOLD</t>
        </is>
      </c>
      <c r="O128" s="156" t="n">
        <v>0.005</v>
      </c>
      <c r="P128" s="157" t="n">
        <v>4943.71</v>
      </c>
      <c r="Q128" s="146" t="n">
        <v>0</v>
      </c>
      <c r="R128" s="146" t="inlineStr"/>
      <c r="S128" s="142" t="inlineStr"/>
      <c r="T128" s="142" t="inlineStr"/>
      <c r="U128" s="142" t="inlineStr">
        <is>
          <t>Dime app IMG_7097-7102</t>
        </is>
      </c>
      <c r="V128" s="158" t="inlineStr">
        <is>
          <t>Confirmed</t>
        </is>
      </c>
      <c r="W128" s="146" t="n">
        <v>24.72</v>
      </c>
      <c r="X128" s="137" t="inlineStr">
        <is>
          <t>USD</t>
        </is>
      </c>
    </row>
    <row r="129">
      <c r="B129" s="153" t="inlineStr">
        <is>
          <t>TX-00124</t>
        </is>
      </c>
      <c r="C129" s="144" t="n">
        <v>46076</v>
      </c>
      <c r="D129" s="154" t="inlineStr">
        <is>
          <t>15:52:08</t>
        </is>
      </c>
      <c r="E129" s="137" t="inlineStr">
        <is>
          <t>Buy</t>
        </is>
      </c>
      <c r="F129" s="136" t="inlineStr">
        <is>
          <t>Dime FCD USD</t>
        </is>
      </c>
      <c r="G129" s="136" t="inlineStr">
        <is>
          <t>Dime Gold</t>
        </is>
      </c>
      <c r="H129" s="159" t="n">
        <v>19.51</v>
      </c>
      <c r="I129" s="137" t="inlineStr">
        <is>
          <t>USD</t>
        </is>
      </c>
      <c r="J129" s="155">
        <f>IFERROR(LOOKUP(2,1/(tblFX[Date]&lt;=[@Date]),tblFX[Rate]),XLOOKUP("CURRENT_FX_USDTHB",tblSettings[Key],tblSettings[Value]))</f>
        <v/>
      </c>
      <c r="K129" s="128">
        <f>H129*J129</f>
        <v/>
      </c>
      <c r="L129" s="137" t="inlineStr">
        <is>
          <t>Investment</t>
        </is>
      </c>
      <c r="M129" s="136" t="inlineStr">
        <is>
          <t>Gold</t>
        </is>
      </c>
      <c r="N129" s="137" t="inlineStr">
        <is>
          <t>MTS-GOLD</t>
        </is>
      </c>
      <c r="O129" s="156" t="n">
        <v>0.0038</v>
      </c>
      <c r="P129" s="157" t="n">
        <v>5133.73</v>
      </c>
      <c r="Q129" s="146" t="n">
        <v>0</v>
      </c>
      <c r="R129" s="146" t="inlineStr"/>
      <c r="S129" s="142" t="inlineStr"/>
      <c r="T129" s="142" t="inlineStr"/>
      <c r="U129" s="142" t="inlineStr">
        <is>
          <t>Dime app IMG_7097-7102</t>
        </is>
      </c>
      <c r="V129" s="158" t="inlineStr">
        <is>
          <t>Confirmed</t>
        </is>
      </c>
      <c r="W129" s="146" t="n">
        <v>19.51</v>
      </c>
      <c r="X129" s="137" t="inlineStr">
        <is>
          <t>USD</t>
        </is>
      </c>
    </row>
    <row r="130">
      <c r="B130" s="153" t="inlineStr">
        <is>
          <t>TX-00125</t>
        </is>
      </c>
      <c r="C130" s="144" t="n">
        <v>46079</v>
      </c>
      <c r="D130" s="154" t="inlineStr">
        <is>
          <t>08:18:51</t>
        </is>
      </c>
      <c r="E130" s="137" t="inlineStr">
        <is>
          <t>Transfer</t>
        </is>
      </c>
      <c r="F130" s="136" t="inlineStr">
        <is>
          <t>Dime Save THB</t>
        </is>
      </c>
      <c r="G130" s="136" t="inlineStr">
        <is>
          <t>Dime FCD USD</t>
        </is>
      </c>
      <c r="H130" s="130" t="n">
        <v>2999.87</v>
      </c>
      <c r="I130" s="137" t="inlineStr">
        <is>
          <t>THB</t>
        </is>
      </c>
      <c r="J130" s="155" t="n">
        <v>1</v>
      </c>
      <c r="K130" s="128">
        <f>H130*J130</f>
        <v/>
      </c>
      <c r="L130" s="137" t="inlineStr">
        <is>
          <t>Transfer</t>
        </is>
      </c>
      <c r="M130" s="136" t="inlineStr">
        <is>
          <t>FX Conversion</t>
        </is>
      </c>
      <c r="N130" s="137" t="inlineStr"/>
      <c r="O130" s="156" t="inlineStr"/>
      <c r="P130" s="157" t="inlineStr"/>
      <c r="Q130" s="146" t="n">
        <v>0</v>
      </c>
      <c r="R130" s="146" t="inlineStr"/>
      <c r="S130" s="142" t="inlineStr"/>
      <c r="T130" s="142" t="inlineStr">
        <is>
          <t>แลก ฿2,999.87 -&gt; $96.49 @ 31.0900</t>
        </is>
      </c>
      <c r="U130" s="142" t="inlineStr">
        <is>
          <t>DIME EX</t>
        </is>
      </c>
      <c r="V130" s="158" t="inlineStr">
        <is>
          <t>Confirmed</t>
        </is>
      </c>
      <c r="W130" s="146" t="n">
        <v>96.48999999999999</v>
      </c>
      <c r="X130" s="137" t="inlineStr">
        <is>
          <t>USD</t>
        </is>
      </c>
    </row>
    <row r="131">
      <c r="B131" s="153" t="inlineStr">
        <is>
          <t>TX-00126</t>
        </is>
      </c>
      <c r="C131" s="144" t="n">
        <v>46079</v>
      </c>
      <c r="D131" s="154" t="inlineStr">
        <is>
          <t>09:18:52</t>
        </is>
      </c>
      <c r="E131" s="137" t="inlineStr">
        <is>
          <t>Transfer</t>
        </is>
      </c>
      <c r="F131" s="136" t="inlineStr">
        <is>
          <t>N/A</t>
        </is>
      </c>
      <c r="G131" s="136" t="inlineStr">
        <is>
          <t>Dime Save THB</t>
        </is>
      </c>
      <c r="H131" s="130" t="n">
        <v>3000</v>
      </c>
      <c r="I131" s="137" t="inlineStr">
        <is>
          <t>THB</t>
        </is>
      </c>
      <c r="J131" s="155" t="n">
        <v>1</v>
      </c>
      <c r="K131" s="128">
        <f>H131*J131</f>
        <v/>
      </c>
      <c r="L131" s="137" t="inlineStr">
        <is>
          <t>Transfer</t>
        </is>
      </c>
      <c r="M131" s="136" t="inlineStr">
        <is>
          <t>Incoming Funding</t>
        </is>
      </c>
      <c r="N131" s="137" t="inlineStr"/>
      <c r="O131" s="156" t="inlineStr"/>
      <c r="P131" s="157" t="inlineStr"/>
      <c r="Q131" s="146" t="n">
        <v>0</v>
      </c>
      <c r="R131" s="146" t="inlineStr"/>
      <c r="S131" s="142" t="inlineStr"/>
      <c r="T131" s="142" t="inlineStr">
        <is>
          <t>ต้นทางยังไม่ระบุในหลักฐาน — ต้องยืนยันว่าเป็นบัญชีตัวเอง (Transfer) หรือรายได้ (Income)</t>
        </is>
      </c>
      <c r="U131" s="142" t="inlineStr">
        <is>
          <t>ประวัติโยกเงิน</t>
        </is>
      </c>
      <c r="V131" s="160" t="inlineStr">
        <is>
          <t>Pending</t>
        </is>
      </c>
      <c r="W131" s="128" t="n">
        <v>3000</v>
      </c>
      <c r="X131" s="137" t="inlineStr">
        <is>
          <t>THB</t>
        </is>
      </c>
    </row>
    <row r="132">
      <c r="B132" s="153" t="inlineStr">
        <is>
          <t>TX-00127</t>
        </is>
      </c>
      <c r="C132" s="144" t="n">
        <v>46080</v>
      </c>
      <c r="D132" s="154" t="inlineStr"/>
      <c r="E132" s="137" t="inlineStr">
        <is>
          <t>Buy</t>
        </is>
      </c>
      <c r="F132" s="136" t="inlineStr">
        <is>
          <t>Dime FCD USD</t>
        </is>
      </c>
      <c r="G132" s="136" t="inlineStr">
        <is>
          <t>Dime US Stocks</t>
        </is>
      </c>
      <c r="H132" s="159" t="n">
        <v>8</v>
      </c>
      <c r="I132" s="137" t="inlineStr">
        <is>
          <t>USD</t>
        </is>
      </c>
      <c r="J132" s="155">
        <f>IFERROR(LOOKUP(2,1/(tblFX[Date]&lt;=[@Date]),tblFX[Rate]),XLOOKUP("CURRENT_FX_USDTHB",tblSettings[Key],tblSettings[Value]))</f>
        <v/>
      </c>
      <c r="K132" s="128">
        <f>H132*J132</f>
        <v/>
      </c>
      <c r="L132" s="137" t="inlineStr">
        <is>
          <t>Investment</t>
        </is>
      </c>
      <c r="M132" s="136" t="inlineStr">
        <is>
          <t>US Stocks</t>
        </is>
      </c>
      <c r="N132" s="137" t="inlineStr">
        <is>
          <t>BEPC</t>
        </is>
      </c>
      <c r="O132" s="156" t="n">
        <v>0.1839587932303164</v>
      </c>
      <c r="P132" s="157" t="n">
        <v>43.488</v>
      </c>
      <c r="Q132" s="146" t="n">
        <v>0</v>
      </c>
      <c r="R132" s="146" t="inlineStr"/>
      <c r="S132" s="142" t="inlineStr"/>
      <c r="T132" s="142" t="inlineStr">
        <is>
          <t>27 กุมภาพันธ์ 2569 — ซื้อวันที่ 27 ก.พ. 69 เวลา 22:54-23:06 น.</t>
        </is>
      </c>
      <c r="U132" s="142" t="inlineStr">
        <is>
          <t>USA STOCK HIS 2</t>
        </is>
      </c>
      <c r="V132" s="158" t="inlineStr">
        <is>
          <t>Confirmed</t>
        </is>
      </c>
      <c r="W132" s="146" t="n">
        <v>8</v>
      </c>
      <c r="X132" s="137" t="inlineStr">
        <is>
          <t>USD</t>
        </is>
      </c>
    </row>
    <row r="133">
      <c r="B133" s="153" t="inlineStr">
        <is>
          <t>TX-00128</t>
        </is>
      </c>
      <c r="C133" s="144" t="n">
        <v>46080</v>
      </c>
      <c r="D133" s="154" t="inlineStr"/>
      <c r="E133" s="137" t="inlineStr">
        <is>
          <t>Buy</t>
        </is>
      </c>
      <c r="F133" s="136" t="inlineStr">
        <is>
          <t>Dime FCD USD</t>
        </is>
      </c>
      <c r="G133" s="136" t="inlineStr">
        <is>
          <t>Dime US Stocks</t>
        </is>
      </c>
      <c r="H133" s="159" t="n">
        <v>11</v>
      </c>
      <c r="I133" s="137" t="inlineStr">
        <is>
          <t>USD</t>
        </is>
      </c>
      <c r="J133" s="155">
        <f>IFERROR(LOOKUP(2,1/(tblFX[Date]&lt;=[@Date]),tblFX[Rate]),XLOOKUP("CURRENT_FX_USDTHB",tblSettings[Key],tblSettings[Value]))</f>
        <v/>
      </c>
      <c r="K133" s="128">
        <f>H133*J133</f>
        <v/>
      </c>
      <c r="L133" s="137" t="inlineStr">
        <is>
          <t>Investment</t>
        </is>
      </c>
      <c r="M133" s="136" t="inlineStr">
        <is>
          <t>US Stocks</t>
        </is>
      </c>
      <c r="N133" s="137" t="inlineStr">
        <is>
          <t>GOOGL</t>
        </is>
      </c>
      <c r="O133" s="156" t="n">
        <v>0.03565778895775525</v>
      </c>
      <c r="P133" s="157" t="n">
        <v>308.488</v>
      </c>
      <c r="Q133" s="146" t="n">
        <v>0</v>
      </c>
      <c r="R133" s="146" t="inlineStr"/>
      <c r="S133" s="142" t="inlineStr"/>
      <c r="T133" s="142" t="inlineStr">
        <is>
          <t>27 กุมภาพันธ์ 2569 — ซื้อวันที่ 27 ก.พ. 69 เวลา 22:54-23:06 น.</t>
        </is>
      </c>
      <c r="U133" s="142" t="inlineStr">
        <is>
          <t>USA STOCK HIS 2</t>
        </is>
      </c>
      <c r="V133" s="158" t="inlineStr">
        <is>
          <t>Confirmed</t>
        </is>
      </c>
      <c r="W133" s="146" t="n">
        <v>11</v>
      </c>
      <c r="X133" s="137" t="inlineStr">
        <is>
          <t>USD</t>
        </is>
      </c>
    </row>
    <row r="134">
      <c r="B134" s="153" t="inlineStr">
        <is>
          <t>TX-00129</t>
        </is>
      </c>
      <c r="C134" s="144" t="n">
        <v>46080</v>
      </c>
      <c r="D134" s="154" t="inlineStr"/>
      <c r="E134" s="137" t="inlineStr">
        <is>
          <t>Buy</t>
        </is>
      </c>
      <c r="F134" s="136" t="inlineStr">
        <is>
          <t>Dime FCD USD</t>
        </is>
      </c>
      <c r="G134" s="136" t="inlineStr">
        <is>
          <t>Dime US Stocks</t>
        </is>
      </c>
      <c r="H134" s="159" t="n">
        <v>12</v>
      </c>
      <c r="I134" s="137" t="inlineStr">
        <is>
          <t>USD</t>
        </is>
      </c>
      <c r="J134" s="155">
        <f>IFERROR(LOOKUP(2,1/(tblFX[Date]&lt;=[@Date]),tblFX[Rate]),XLOOKUP("CURRENT_FX_USDTHB",tblSettings[Key],tblSettings[Value]))</f>
        <v/>
      </c>
      <c r="K134" s="128">
        <f>H134*J134</f>
        <v/>
      </c>
      <c r="L134" s="137" t="inlineStr">
        <is>
          <t>Investment</t>
        </is>
      </c>
      <c r="M134" s="136" t="inlineStr">
        <is>
          <t>US Stocks</t>
        </is>
      </c>
      <c r="N134" s="137" t="inlineStr">
        <is>
          <t>MSFT</t>
        </is>
      </c>
      <c r="O134" s="156" t="n">
        <v>0.03040745996351105</v>
      </c>
      <c r="P134" s="157" t="n">
        <v>394.64</v>
      </c>
      <c r="Q134" s="146" t="n">
        <v>0</v>
      </c>
      <c r="R134" s="146" t="inlineStr"/>
      <c r="S134" s="142" t="inlineStr"/>
      <c r="T134" s="142" t="inlineStr">
        <is>
          <t>27 กุมภาพันธ์ 2569 — ซื้อวันที่ 27 ก.พ. 69 เวลา 22:54-23:06 น.</t>
        </is>
      </c>
      <c r="U134" s="142" t="inlineStr">
        <is>
          <t>USA STOCK HIS 2</t>
        </is>
      </c>
      <c r="V134" s="158" t="inlineStr">
        <is>
          <t>Confirmed</t>
        </is>
      </c>
      <c r="W134" s="146" t="n">
        <v>12</v>
      </c>
      <c r="X134" s="137" t="inlineStr">
        <is>
          <t>USD</t>
        </is>
      </c>
    </row>
    <row r="135">
      <c r="B135" s="153" t="inlineStr">
        <is>
          <t>TX-00130</t>
        </is>
      </c>
      <c r="C135" s="144" t="n">
        <v>46080</v>
      </c>
      <c r="D135" s="154" t="inlineStr"/>
      <c r="E135" s="137" t="inlineStr">
        <is>
          <t>Buy</t>
        </is>
      </c>
      <c r="F135" s="136" t="inlineStr">
        <is>
          <t>Dime FCD USD</t>
        </is>
      </c>
      <c r="G135" s="136" t="inlineStr">
        <is>
          <t>Dime US Stocks</t>
        </is>
      </c>
      <c r="H135" s="159" t="n">
        <v>10</v>
      </c>
      <c r="I135" s="137" t="inlineStr">
        <is>
          <t>USD</t>
        </is>
      </c>
      <c r="J135" s="155">
        <f>IFERROR(LOOKUP(2,1/(tblFX[Date]&lt;=[@Date]),tblFX[Rate]),XLOOKUP("CURRENT_FX_USDTHB",tblSettings[Key],tblSettings[Value]))</f>
        <v/>
      </c>
      <c r="K135" s="128">
        <f>H135*J135</f>
        <v/>
      </c>
      <c r="L135" s="137" t="inlineStr">
        <is>
          <t>Investment</t>
        </is>
      </c>
      <c r="M135" s="136" t="inlineStr">
        <is>
          <t>US Stocks</t>
        </is>
      </c>
      <c r="N135" s="137" t="inlineStr">
        <is>
          <t>SCHD</t>
        </is>
      </c>
      <c r="O135" s="156" t="n">
        <v>0.3171783811215428</v>
      </c>
      <c r="P135" s="157" t="n">
        <v>31.528</v>
      </c>
      <c r="Q135" s="146" t="n">
        <v>0</v>
      </c>
      <c r="R135" s="146" t="inlineStr"/>
      <c r="S135" s="142" t="inlineStr"/>
      <c r="T135" s="142" t="inlineStr">
        <is>
          <t>27 กุมภาพันธ์ 2569 — ซื้อวันที่ 27 ก.พ. 69 เวลา 22:54-23:06 น.</t>
        </is>
      </c>
      <c r="U135" s="142" t="inlineStr">
        <is>
          <t>USA STOCK HIS 2</t>
        </is>
      </c>
      <c r="V135" s="158" t="inlineStr">
        <is>
          <t>Confirmed</t>
        </is>
      </c>
      <c r="W135" s="146" t="n">
        <v>10</v>
      </c>
      <c r="X135" s="137" t="inlineStr">
        <is>
          <t>USD</t>
        </is>
      </c>
    </row>
    <row r="136">
      <c r="B136" s="153" t="inlineStr">
        <is>
          <t>TX-00131</t>
        </is>
      </c>
      <c r="C136" s="144" t="n">
        <v>46080</v>
      </c>
      <c r="D136" s="154" t="inlineStr"/>
      <c r="E136" s="137" t="inlineStr">
        <is>
          <t>Buy</t>
        </is>
      </c>
      <c r="F136" s="136" t="inlineStr">
        <is>
          <t>Dime FCD USD</t>
        </is>
      </c>
      <c r="G136" s="136" t="inlineStr">
        <is>
          <t>Dime US Stocks</t>
        </is>
      </c>
      <c r="H136" s="159" t="n">
        <v>8</v>
      </c>
      <c r="I136" s="137" t="inlineStr">
        <is>
          <t>USD</t>
        </is>
      </c>
      <c r="J136" s="155">
        <f>IFERROR(LOOKUP(2,1/(tblFX[Date]&lt;=[@Date]),tblFX[Rate]),XLOOKUP("CURRENT_FX_USDTHB",tblSettings[Key],tblSettings[Value]))</f>
        <v/>
      </c>
      <c r="K136" s="128">
        <f>H136*J136</f>
        <v/>
      </c>
      <c r="L136" s="137" t="inlineStr">
        <is>
          <t>Investment</t>
        </is>
      </c>
      <c r="M136" s="136" t="inlineStr">
        <is>
          <t>US Stocks</t>
        </is>
      </c>
      <c r="N136" s="137" t="inlineStr">
        <is>
          <t>SCHG</t>
        </is>
      </c>
      <c r="O136" s="156" t="n">
        <v>0.2606032966317024</v>
      </c>
      <c r="P136" s="157" t="n">
        <v>30.698</v>
      </c>
      <c r="Q136" s="146" t="n">
        <v>0</v>
      </c>
      <c r="R136" s="146" t="inlineStr"/>
      <c r="S136" s="142" t="inlineStr"/>
      <c r="T136" s="142" t="inlineStr">
        <is>
          <t>27 กุมภาพันธ์ 2569 — ซื้อวันที่ 27 ก.พ. 69 เวลา 22:54-23:06 น.</t>
        </is>
      </c>
      <c r="U136" s="142" t="inlineStr">
        <is>
          <t>USA STOCK HIS 2</t>
        </is>
      </c>
      <c r="V136" s="158" t="inlineStr">
        <is>
          <t>Confirmed</t>
        </is>
      </c>
      <c r="W136" s="146" t="n">
        <v>8</v>
      </c>
      <c r="X136" s="137" t="inlineStr">
        <is>
          <t>USD</t>
        </is>
      </c>
    </row>
    <row r="137">
      <c r="B137" s="153" t="inlineStr">
        <is>
          <t>TX-00132</t>
        </is>
      </c>
      <c r="C137" s="144" t="n">
        <v>46082</v>
      </c>
      <c r="D137" s="154" t="inlineStr"/>
      <c r="E137" s="137" t="inlineStr">
        <is>
          <t>PVD Contribution</t>
        </is>
      </c>
      <c r="F137" s="136" t="inlineStr">
        <is>
          <t>N/A</t>
        </is>
      </c>
      <c r="G137" s="136" t="inlineStr">
        <is>
          <t>PVD</t>
        </is>
      </c>
      <c r="H137" s="130" t="n">
        <v>2841.75</v>
      </c>
      <c r="I137" s="137" t="inlineStr">
        <is>
          <t>THB</t>
        </is>
      </c>
      <c r="J137" s="155" t="n">
        <v>1</v>
      </c>
      <c r="K137" s="128">
        <f>H137*J137</f>
        <v/>
      </c>
      <c r="L137" s="137" t="inlineStr">
        <is>
          <t>Investment</t>
        </is>
      </c>
      <c r="M137" s="136" t="inlineStr">
        <is>
          <t>PVD</t>
        </is>
      </c>
      <c r="N137" s="137" t="inlineStr">
        <is>
          <t>PVD</t>
        </is>
      </c>
      <c r="O137" s="156" t="inlineStr"/>
      <c r="P137" s="157" t="inlineStr"/>
      <c r="Q137" s="146" t="n">
        <v>0</v>
      </c>
      <c r="R137" s="146" t="inlineStr"/>
      <c r="S137" s="142" t="inlineStr">
        <is>
          <t>PVD Deduction (ลดหย่อนภาษี)</t>
        </is>
      </c>
      <c r="T137" s="142" t="inlineStr">
        <is>
          <t>เงินสะสมพนักงาน (หักจากเงินเดือนก่อนเข้าบัญชี) — มีนาคม 2569</t>
        </is>
      </c>
      <c r="U137" s="142" t="inlineStr">
        <is>
          <t>PVD HIS (delta)</t>
        </is>
      </c>
      <c r="V137" s="158" t="inlineStr">
        <is>
          <t>Confirmed</t>
        </is>
      </c>
      <c r="W137" s="128" t="n">
        <v>2841.75</v>
      </c>
      <c r="X137" s="137" t="inlineStr">
        <is>
          <t>THB</t>
        </is>
      </c>
    </row>
    <row r="138">
      <c r="B138" s="153" t="inlineStr">
        <is>
          <t>TX-00133</t>
        </is>
      </c>
      <c r="C138" s="144" t="n">
        <v>46082</v>
      </c>
      <c r="D138" s="154" t="inlineStr"/>
      <c r="E138" s="137" t="inlineStr">
        <is>
          <t>PVD Employer</t>
        </is>
      </c>
      <c r="F138" s="136" t="inlineStr">
        <is>
          <t>N/A</t>
        </is>
      </c>
      <c r="G138" s="136" t="inlineStr">
        <is>
          <t>PVD</t>
        </is>
      </c>
      <c r="H138" s="130" t="n">
        <v>2273.4</v>
      </c>
      <c r="I138" s="137" t="inlineStr">
        <is>
          <t>THB</t>
        </is>
      </c>
      <c r="J138" s="155" t="n">
        <v>1</v>
      </c>
      <c r="K138" s="128">
        <f>H138*J138</f>
        <v/>
      </c>
      <c r="L138" s="137" t="inlineStr">
        <is>
          <t>Investment</t>
        </is>
      </c>
      <c r="M138" s="136" t="inlineStr">
        <is>
          <t>PVD</t>
        </is>
      </c>
      <c r="N138" s="137" t="inlineStr">
        <is>
          <t>PVD</t>
        </is>
      </c>
      <c r="O138" s="156" t="inlineStr"/>
      <c r="P138" s="157" t="inlineStr"/>
      <c r="Q138" s="146" t="n">
        <v>0</v>
      </c>
      <c r="R138" s="146" t="inlineStr"/>
      <c r="S138" s="142" t="inlineStr">
        <is>
          <t>Employer Contribution (ไม่เป็นเงินได้)</t>
        </is>
      </c>
      <c r="T138" s="142" t="inlineStr">
        <is>
          <t>เงินสมทบนายจ้าง — มีนาคม 2569</t>
        </is>
      </c>
      <c r="U138" s="142" t="inlineStr">
        <is>
          <t>PVD HIS (delta)</t>
        </is>
      </c>
      <c r="V138" s="158" t="inlineStr">
        <is>
          <t>Confirmed</t>
        </is>
      </c>
      <c r="W138" s="128" t="n">
        <v>2273.4</v>
      </c>
      <c r="X138" s="137" t="inlineStr">
        <is>
          <t>THB</t>
        </is>
      </c>
    </row>
    <row r="139">
      <c r="B139" s="153" t="inlineStr">
        <is>
          <t>TX-00134</t>
        </is>
      </c>
      <c r="C139" s="144" t="n">
        <v>46084</v>
      </c>
      <c r="D139" s="154" t="inlineStr"/>
      <c r="E139" s="137" t="inlineStr">
        <is>
          <t>Buy</t>
        </is>
      </c>
      <c r="F139" s="136" t="inlineStr">
        <is>
          <t>Dime FCD USD</t>
        </is>
      </c>
      <c r="G139" s="136" t="inlineStr">
        <is>
          <t>Dime US Stocks</t>
        </is>
      </c>
      <c r="H139" s="159" t="n">
        <v>11</v>
      </c>
      <c r="I139" s="137" t="inlineStr">
        <is>
          <t>USD</t>
        </is>
      </c>
      <c r="J139" s="155">
        <f>IFERROR(LOOKUP(2,1/(tblFX[Date]&lt;=[@Date]),tblFX[Rate]),XLOOKUP("CURRENT_FX_USDTHB",tblSettings[Key],tblSettings[Value]))</f>
        <v/>
      </c>
      <c r="K139" s="128">
        <f>H139*J139</f>
        <v/>
      </c>
      <c r="L139" s="137" t="inlineStr">
        <is>
          <t>Investment</t>
        </is>
      </c>
      <c r="M139" s="136" t="inlineStr">
        <is>
          <t>US Stocks</t>
        </is>
      </c>
      <c r="N139" s="137" t="inlineStr">
        <is>
          <t>AAPL</t>
        </is>
      </c>
      <c r="O139" s="156" t="n">
        <v>0.04139322054307905</v>
      </c>
      <c r="P139" s="157" t="n">
        <v>265.744</v>
      </c>
      <c r="Q139" s="146" t="n">
        <v>0</v>
      </c>
      <c r="R139" s="146" t="inlineStr"/>
      <c r="S139" s="142" t="inlineStr"/>
      <c r="T139" s="142" t="inlineStr">
        <is>
          <t>3 มีนาคม 2569 (ช่วงเที่ยงคืน) — ซื้อวันที่ 3 มี.ค. 69 เวลา 00:29-00:35 น.</t>
        </is>
      </c>
      <c r="U139" s="142" t="inlineStr">
        <is>
          <t>USA STOCK HIS 2</t>
        </is>
      </c>
      <c r="V139" s="158" t="inlineStr">
        <is>
          <t>Confirmed</t>
        </is>
      </c>
      <c r="W139" s="146" t="n">
        <v>11</v>
      </c>
      <c r="X139" s="137" t="inlineStr">
        <is>
          <t>USD</t>
        </is>
      </c>
    </row>
    <row r="140">
      <c r="B140" s="153" t="inlineStr">
        <is>
          <t>TX-00135</t>
        </is>
      </c>
      <c r="C140" s="144" t="n">
        <v>46084</v>
      </c>
      <c r="D140" s="154" t="inlineStr"/>
      <c r="E140" s="137" t="inlineStr">
        <is>
          <t>Buy</t>
        </is>
      </c>
      <c r="F140" s="136" t="inlineStr">
        <is>
          <t>Dime FCD USD</t>
        </is>
      </c>
      <c r="G140" s="136" t="inlineStr">
        <is>
          <t>Dime US Stocks</t>
        </is>
      </c>
      <c r="H140" s="159" t="n">
        <v>25</v>
      </c>
      <c r="I140" s="137" t="inlineStr">
        <is>
          <t>USD</t>
        </is>
      </c>
      <c r="J140" s="155">
        <f>IFERROR(LOOKUP(2,1/(tblFX[Date]&lt;=[@Date]),tblFX[Rate]),XLOOKUP("CURRENT_FX_USDTHB",tblSettings[Key],tblSettings[Value]))</f>
        <v/>
      </c>
      <c r="K140" s="128">
        <f>H140*J140</f>
        <v/>
      </c>
      <c r="L140" s="137" t="inlineStr">
        <is>
          <t>Investment</t>
        </is>
      </c>
      <c r="M140" s="136" t="inlineStr">
        <is>
          <t>US Stocks</t>
        </is>
      </c>
      <c r="N140" s="137" t="inlineStr">
        <is>
          <t>AMZN</t>
        </is>
      </c>
      <c r="O140" s="156" t="n">
        <v>0.1231624167422063</v>
      </c>
      <c r="P140" s="157" t="n">
        <v>202.984</v>
      </c>
      <c r="Q140" s="146" t="n">
        <v>0</v>
      </c>
      <c r="R140" s="146" t="inlineStr"/>
      <c r="S140" s="142" t="inlineStr"/>
      <c r="T140" s="142" t="inlineStr">
        <is>
          <t>3 มีนาคม 2569 (ช่วงเย็น) — ซื้อวันที่ 3 มี.ค. 69 เวลา 22:53-22:57 น.</t>
        </is>
      </c>
      <c r="U140" s="142" t="inlineStr">
        <is>
          <t>USA STOCK HIS 2</t>
        </is>
      </c>
      <c r="V140" s="158" t="inlineStr">
        <is>
          <t>Confirmed</t>
        </is>
      </c>
      <c r="W140" s="146" t="n">
        <v>25</v>
      </c>
      <c r="X140" s="137" t="inlineStr">
        <is>
          <t>USD</t>
        </is>
      </c>
    </row>
    <row r="141">
      <c r="B141" s="153" t="inlineStr">
        <is>
          <t>TX-00136</t>
        </is>
      </c>
      <c r="C141" s="144" t="n">
        <v>46084</v>
      </c>
      <c r="D141" s="154" t="inlineStr"/>
      <c r="E141" s="137" t="inlineStr">
        <is>
          <t>Buy</t>
        </is>
      </c>
      <c r="F141" s="136" t="inlineStr">
        <is>
          <t>Dime FCD USD</t>
        </is>
      </c>
      <c r="G141" s="136" t="inlineStr">
        <is>
          <t>Dime US Stocks</t>
        </is>
      </c>
      <c r="H141" s="159" t="n">
        <v>6</v>
      </c>
      <c r="I141" s="137" t="inlineStr">
        <is>
          <t>USD</t>
        </is>
      </c>
      <c r="J141" s="155">
        <f>IFERROR(LOOKUP(2,1/(tblFX[Date]&lt;=[@Date]),tblFX[Rate]),XLOOKUP("CURRENT_FX_USDTHB",tblSettings[Key],tblSettings[Value]))</f>
        <v/>
      </c>
      <c r="K141" s="128">
        <f>H141*J141</f>
        <v/>
      </c>
      <c r="L141" s="137" t="inlineStr">
        <is>
          <t>Investment</t>
        </is>
      </c>
      <c r="M141" s="136" t="inlineStr">
        <is>
          <t>US Stocks</t>
        </is>
      </c>
      <c r="N141" s="137" t="inlineStr">
        <is>
          <t>AMZN</t>
        </is>
      </c>
      <c r="O141" s="156" t="n">
        <v>0.02874251497005988</v>
      </c>
      <c r="P141" s="157" t="n">
        <v>208.75</v>
      </c>
      <c r="Q141" s="146" t="n">
        <v>0</v>
      </c>
      <c r="R141" s="146" t="inlineStr"/>
      <c r="S141" s="142" t="inlineStr"/>
      <c r="T141" s="142" t="inlineStr">
        <is>
          <t>3 มีนาคม 2569 (ช่วงเที่ยงคืน) — ซื้อวันที่ 3 มี.ค. 69 เวลา 00:29-00:35 น.</t>
        </is>
      </c>
      <c r="U141" s="142" t="inlineStr">
        <is>
          <t>USA STOCK HIS 2</t>
        </is>
      </c>
      <c r="V141" s="158" t="inlineStr">
        <is>
          <t>Confirmed</t>
        </is>
      </c>
      <c r="W141" s="146" t="n">
        <v>6</v>
      </c>
      <c r="X141" s="137" t="inlineStr">
        <is>
          <t>USD</t>
        </is>
      </c>
    </row>
    <row r="142">
      <c r="B142" s="153" t="inlineStr">
        <is>
          <t>TX-00137</t>
        </is>
      </c>
      <c r="C142" s="144" t="n">
        <v>46084</v>
      </c>
      <c r="D142" s="154" t="inlineStr"/>
      <c r="E142" s="137" t="inlineStr">
        <is>
          <t>Buy</t>
        </is>
      </c>
      <c r="F142" s="136" t="inlineStr">
        <is>
          <t>Dime FCD USD</t>
        </is>
      </c>
      <c r="G142" s="136" t="inlineStr">
        <is>
          <t>Dime US Stocks</t>
        </is>
      </c>
      <c r="H142" s="159" t="n">
        <v>25</v>
      </c>
      <c r="I142" s="137" t="inlineStr">
        <is>
          <t>USD</t>
        </is>
      </c>
      <c r="J142" s="155">
        <f>IFERROR(LOOKUP(2,1/(tblFX[Date]&lt;=[@Date]),tblFX[Rate]),XLOOKUP("CURRENT_FX_USDTHB",tblSettings[Key],tblSettings[Value]))</f>
        <v/>
      </c>
      <c r="K142" s="128">
        <f>H142*J142</f>
        <v/>
      </c>
      <c r="L142" s="137" t="inlineStr">
        <is>
          <t>Investment</t>
        </is>
      </c>
      <c r="M142" s="136" t="inlineStr">
        <is>
          <t>US Stocks</t>
        </is>
      </c>
      <c r="N142" s="137" t="inlineStr">
        <is>
          <t>GOOGL</t>
        </is>
      </c>
      <c r="O142" s="156" t="n">
        <v>0.08410485520508128</v>
      </c>
      <c r="P142" s="157" t="n">
        <v>297.248</v>
      </c>
      <c r="Q142" s="146" t="n">
        <v>0</v>
      </c>
      <c r="R142" s="146" t="inlineStr"/>
      <c r="S142" s="142" t="inlineStr"/>
      <c r="T142" s="142" t="inlineStr">
        <is>
          <t>3 มีนาคม 2569 (ช่วงเย็น) — ซื้อวันที่ 3 มี.ค. 69 เวลา 22:53-22:57 น.</t>
        </is>
      </c>
      <c r="U142" s="142" t="inlineStr">
        <is>
          <t>USA STOCK HIS 2</t>
        </is>
      </c>
      <c r="V142" s="158" t="inlineStr">
        <is>
          <t>Confirmed</t>
        </is>
      </c>
      <c r="W142" s="146" t="n">
        <v>25</v>
      </c>
      <c r="X142" s="137" t="inlineStr">
        <is>
          <t>USD</t>
        </is>
      </c>
    </row>
    <row r="143">
      <c r="B143" s="153" t="inlineStr">
        <is>
          <t>TX-00138</t>
        </is>
      </c>
      <c r="C143" s="144" t="n">
        <v>46084</v>
      </c>
      <c r="D143" s="154" t="inlineStr"/>
      <c r="E143" s="137" t="inlineStr">
        <is>
          <t>Buy</t>
        </is>
      </c>
      <c r="F143" s="136" t="inlineStr">
        <is>
          <t>Dime FCD USD</t>
        </is>
      </c>
      <c r="G143" s="136" t="inlineStr">
        <is>
          <t>Dime US Stocks</t>
        </is>
      </c>
      <c r="H143" s="159" t="n">
        <v>5</v>
      </c>
      <c r="I143" s="137" t="inlineStr">
        <is>
          <t>USD</t>
        </is>
      </c>
      <c r="J143" s="155">
        <f>IFERROR(LOOKUP(2,1/(tblFX[Date]&lt;=[@Date]),tblFX[Rate]),XLOOKUP("CURRENT_FX_USDTHB",tblSettings[Key],tblSettings[Value]))</f>
        <v/>
      </c>
      <c r="K143" s="128">
        <f>H143*J143</f>
        <v/>
      </c>
      <c r="L143" s="137" t="inlineStr">
        <is>
          <t>Investment</t>
        </is>
      </c>
      <c r="M143" s="136" t="inlineStr">
        <is>
          <t>US Stocks</t>
        </is>
      </c>
      <c r="N143" s="137" t="inlineStr">
        <is>
          <t>LLY</t>
        </is>
      </c>
      <c r="O143" s="156" t="n">
        <v>0.004879610255769651</v>
      </c>
      <c r="P143" s="157" t="n">
        <v>1024.672</v>
      </c>
      <c r="Q143" s="146" t="n">
        <v>0</v>
      </c>
      <c r="R143" s="146" t="inlineStr"/>
      <c r="S143" s="142" t="inlineStr"/>
      <c r="T143" s="142" t="inlineStr">
        <is>
          <t>3 มีนาคม 2569 (ช่วงเที่ยงคืน) — ซื้อวันที่ 3 มี.ค. 69 เวลา 00:29-00:35 น.</t>
        </is>
      </c>
      <c r="U143" s="142" t="inlineStr">
        <is>
          <t>USA STOCK HIS 2</t>
        </is>
      </c>
      <c r="V143" s="158" t="inlineStr">
        <is>
          <t>Confirmed</t>
        </is>
      </c>
      <c r="W143" s="146" t="n">
        <v>5</v>
      </c>
      <c r="X143" s="137" t="inlineStr">
        <is>
          <t>USD</t>
        </is>
      </c>
    </row>
    <row r="144">
      <c r="B144" s="153" t="inlineStr">
        <is>
          <t>TX-00139</t>
        </is>
      </c>
      <c r="C144" s="144" t="n">
        <v>46084</v>
      </c>
      <c r="D144" s="154" t="inlineStr"/>
      <c r="E144" s="137" t="inlineStr">
        <is>
          <t>Buy</t>
        </is>
      </c>
      <c r="F144" s="136" t="inlineStr">
        <is>
          <t>Dime FCD USD</t>
        </is>
      </c>
      <c r="G144" s="136" t="inlineStr">
        <is>
          <t>Dime US Stocks</t>
        </is>
      </c>
      <c r="H144" s="159" t="n">
        <v>25</v>
      </c>
      <c r="I144" s="137" t="inlineStr">
        <is>
          <t>USD</t>
        </is>
      </c>
      <c r="J144" s="155">
        <f>IFERROR(LOOKUP(2,1/(tblFX[Date]&lt;=[@Date]),tblFX[Rate]),XLOOKUP("CURRENT_FX_USDTHB",tblSettings[Key],tblSettings[Value]))</f>
        <v/>
      </c>
      <c r="K144" s="128">
        <f>H144*J144</f>
        <v/>
      </c>
      <c r="L144" s="137" t="inlineStr">
        <is>
          <t>Investment</t>
        </is>
      </c>
      <c r="M144" s="136" t="inlineStr">
        <is>
          <t>US Stocks</t>
        </is>
      </c>
      <c r="N144" s="137" t="inlineStr">
        <is>
          <t>META</t>
        </is>
      </c>
      <c r="O144" s="156" t="n">
        <v>0.03891983448172791</v>
      </c>
      <c r="P144" s="157" t="n">
        <v>642.346</v>
      </c>
      <c r="Q144" s="146" t="n">
        <v>0</v>
      </c>
      <c r="R144" s="146" t="inlineStr"/>
      <c r="S144" s="142" t="inlineStr"/>
      <c r="T144" s="142" t="inlineStr">
        <is>
          <t>3 มีนาคม 2569 (ช่วงเย็น) — ซื้อวันที่ 3 มี.ค. 69 เวลา 22:53-22:57 น.</t>
        </is>
      </c>
      <c r="U144" s="142" t="inlineStr">
        <is>
          <t>USA STOCK HIS 2</t>
        </is>
      </c>
      <c r="V144" s="158" t="inlineStr">
        <is>
          <t>Confirmed</t>
        </is>
      </c>
      <c r="W144" s="146" t="n">
        <v>25</v>
      </c>
      <c r="X144" s="137" t="inlineStr">
        <is>
          <t>USD</t>
        </is>
      </c>
    </row>
    <row r="145">
      <c r="B145" s="153" t="inlineStr">
        <is>
          <t>TX-00140</t>
        </is>
      </c>
      <c r="C145" s="144" t="n">
        <v>46084</v>
      </c>
      <c r="D145" s="154" t="inlineStr"/>
      <c r="E145" s="137" t="inlineStr">
        <is>
          <t>Buy</t>
        </is>
      </c>
      <c r="F145" s="136" t="inlineStr">
        <is>
          <t>Dime FCD USD</t>
        </is>
      </c>
      <c r="G145" s="136" t="inlineStr">
        <is>
          <t>Dime US Stocks</t>
        </is>
      </c>
      <c r="H145" s="159" t="n">
        <v>5</v>
      </c>
      <c r="I145" s="137" t="inlineStr">
        <is>
          <t>USD</t>
        </is>
      </c>
      <c r="J145" s="155">
        <f>IFERROR(LOOKUP(2,1/(tblFX[Date]&lt;=[@Date]),tblFX[Rate]),XLOOKUP("CURRENT_FX_USDTHB",tblSettings[Key],tblSettings[Value]))</f>
        <v/>
      </c>
      <c r="K145" s="128">
        <f>H145*J145</f>
        <v/>
      </c>
      <c r="L145" s="137" t="inlineStr">
        <is>
          <t>Investment</t>
        </is>
      </c>
      <c r="M145" s="136" t="inlineStr">
        <is>
          <t>US Stocks</t>
        </is>
      </c>
      <c r="N145" s="137" t="inlineStr">
        <is>
          <t>META</t>
        </is>
      </c>
      <c r="O145" s="156" t="n">
        <v>0.007618652900268786</v>
      </c>
      <c r="P145" s="157" t="n">
        <v>656.284</v>
      </c>
      <c r="Q145" s="146" t="n">
        <v>0</v>
      </c>
      <c r="R145" s="146" t="inlineStr"/>
      <c r="S145" s="142" t="inlineStr"/>
      <c r="T145" s="142" t="inlineStr">
        <is>
          <t>3 มีนาคม 2569 (ช่วงเที่ยงคืน) — ซื้อวันที่ 3 มี.ค. 69 เวลา 00:29-00:35 น.</t>
        </is>
      </c>
      <c r="U145" s="142" t="inlineStr">
        <is>
          <t>USA STOCK HIS 2</t>
        </is>
      </c>
      <c r="V145" s="158" t="inlineStr">
        <is>
          <t>Confirmed</t>
        </is>
      </c>
      <c r="W145" s="146" t="n">
        <v>5</v>
      </c>
      <c r="X145" s="137" t="inlineStr">
        <is>
          <t>USD</t>
        </is>
      </c>
    </row>
    <row r="146">
      <c r="B146" s="153" t="inlineStr">
        <is>
          <t>TX-00141</t>
        </is>
      </c>
      <c r="C146" s="144" t="n">
        <v>46084</v>
      </c>
      <c r="D146" s="154" t="inlineStr"/>
      <c r="E146" s="137" t="inlineStr">
        <is>
          <t>Buy</t>
        </is>
      </c>
      <c r="F146" s="136" t="inlineStr">
        <is>
          <t>Dime FCD USD</t>
        </is>
      </c>
      <c r="G146" s="136" t="inlineStr">
        <is>
          <t>Dime US Stocks</t>
        </is>
      </c>
      <c r="H146" s="159" t="n">
        <v>20</v>
      </c>
      <c r="I146" s="137" t="inlineStr">
        <is>
          <t>USD</t>
        </is>
      </c>
      <c r="J146" s="155">
        <f>IFERROR(LOOKUP(2,1/(tblFX[Date]&lt;=[@Date]),tblFX[Rate]),XLOOKUP("CURRENT_FX_USDTHB",tblSettings[Key],tblSettings[Value]))</f>
        <v/>
      </c>
      <c r="K146" s="128">
        <f>H146*J146</f>
        <v/>
      </c>
      <c r="L146" s="137" t="inlineStr">
        <is>
          <t>Investment</t>
        </is>
      </c>
      <c r="M146" s="136" t="inlineStr">
        <is>
          <t>US Stocks</t>
        </is>
      </c>
      <c r="N146" s="137" t="inlineStr">
        <is>
          <t>MSFT</t>
        </is>
      </c>
      <c r="O146" s="156" t="n">
        <v>0.05050096961861668</v>
      </c>
      <c r="P146" s="157" t="n">
        <v>396.032</v>
      </c>
      <c r="Q146" s="146" t="n">
        <v>0</v>
      </c>
      <c r="R146" s="146" t="inlineStr"/>
      <c r="S146" s="142" t="inlineStr"/>
      <c r="T146" s="142" t="inlineStr">
        <is>
          <t>3 มีนาคม 2569 (ช่วงเย็น) — ซื้อวันที่ 3 มี.ค. 69 เวลา 22:53-22:57 น.</t>
        </is>
      </c>
      <c r="U146" s="142" t="inlineStr">
        <is>
          <t>USA STOCK HIS 2</t>
        </is>
      </c>
      <c r="V146" s="158" t="inlineStr">
        <is>
          <t>Confirmed</t>
        </is>
      </c>
      <c r="W146" s="146" t="n">
        <v>20</v>
      </c>
      <c r="X146" s="137" t="inlineStr">
        <is>
          <t>USD</t>
        </is>
      </c>
    </row>
    <row r="147">
      <c r="B147" s="153" t="inlineStr">
        <is>
          <t>TX-00142</t>
        </is>
      </c>
      <c r="C147" s="144" t="n">
        <v>46084</v>
      </c>
      <c r="D147" s="154" t="inlineStr"/>
      <c r="E147" s="137" t="inlineStr">
        <is>
          <t>Buy</t>
        </is>
      </c>
      <c r="F147" s="136" t="inlineStr">
        <is>
          <t>Dime FCD USD</t>
        </is>
      </c>
      <c r="G147" s="136" t="inlineStr">
        <is>
          <t>Dime US Stocks</t>
        </is>
      </c>
      <c r="H147" s="159" t="n">
        <v>10</v>
      </c>
      <c r="I147" s="137" t="inlineStr">
        <is>
          <t>USD</t>
        </is>
      </c>
      <c r="J147" s="155">
        <f>IFERROR(LOOKUP(2,1/(tblFX[Date]&lt;=[@Date]),tblFX[Rate]),XLOOKUP("CURRENT_FX_USDTHB",tblSettings[Key],tblSettings[Value]))</f>
        <v/>
      </c>
      <c r="K147" s="128">
        <f>H147*J147</f>
        <v/>
      </c>
      <c r="L147" s="137" t="inlineStr">
        <is>
          <t>Investment</t>
        </is>
      </c>
      <c r="M147" s="136" t="inlineStr">
        <is>
          <t>US Stocks</t>
        </is>
      </c>
      <c r="N147" s="137" t="inlineStr">
        <is>
          <t>NVDA</t>
        </is>
      </c>
      <c r="O147" s="156" t="n">
        <v>0.05637359911606196</v>
      </c>
      <c r="P147" s="157" t="n">
        <v>177.388</v>
      </c>
      <c r="Q147" s="146" t="n">
        <v>0</v>
      </c>
      <c r="R147" s="146" t="inlineStr"/>
      <c r="S147" s="142" t="inlineStr"/>
      <c r="T147" s="142" t="inlineStr">
        <is>
          <t>3 มีนาคม 2569 (ช่วงเย็น) — ซื้อวันที่ 3 มี.ค. 69 เวลา 22:53-22:57 น.</t>
        </is>
      </c>
      <c r="U147" s="142" t="inlineStr">
        <is>
          <t>USA STOCK HIS 2</t>
        </is>
      </c>
      <c r="V147" s="158" t="inlineStr">
        <is>
          <t>Confirmed</t>
        </is>
      </c>
      <c r="W147" s="146" t="n">
        <v>10</v>
      </c>
      <c r="X147" s="137" t="inlineStr">
        <is>
          <t>USD</t>
        </is>
      </c>
    </row>
    <row r="148">
      <c r="B148" s="153" t="inlineStr">
        <is>
          <t>TX-00143</t>
        </is>
      </c>
      <c r="C148" s="144" t="n">
        <v>46084</v>
      </c>
      <c r="D148" s="154" t="inlineStr"/>
      <c r="E148" s="137" t="inlineStr">
        <is>
          <t>Buy</t>
        </is>
      </c>
      <c r="F148" s="136" t="inlineStr">
        <is>
          <t>Dime FCD USD</t>
        </is>
      </c>
      <c r="G148" s="136" t="inlineStr">
        <is>
          <t>Dime US Stocks</t>
        </is>
      </c>
      <c r="H148" s="159" t="n">
        <v>3</v>
      </c>
      <c r="I148" s="137" t="inlineStr">
        <is>
          <t>USD</t>
        </is>
      </c>
      <c r="J148" s="155">
        <f>IFERROR(LOOKUP(2,1/(tblFX[Date]&lt;=[@Date]),tblFX[Rate]),XLOOKUP("CURRENT_FX_USDTHB",tblSettings[Key],tblSettings[Value]))</f>
        <v/>
      </c>
      <c r="K148" s="128">
        <f>H148*J148</f>
        <v/>
      </c>
      <c r="L148" s="137" t="inlineStr">
        <is>
          <t>Investment</t>
        </is>
      </c>
      <c r="M148" s="136" t="inlineStr">
        <is>
          <t>US Stocks</t>
        </is>
      </c>
      <c r="N148" s="137" t="inlineStr">
        <is>
          <t>PRCT</t>
        </is>
      </c>
      <c r="O148" s="156" t="n">
        <v>0.1281722635221738</v>
      </c>
      <c r="P148" s="157" t="n">
        <v>23.406</v>
      </c>
      <c r="Q148" s="146" t="n">
        <v>0</v>
      </c>
      <c r="R148" s="146" t="inlineStr"/>
      <c r="S148" s="142" t="inlineStr"/>
      <c r="T148" s="142" t="inlineStr">
        <is>
          <t>3 มีนาคม 2569 (ช่วงเที่ยงคืน) — ซื้อวันที่ 3 มี.ค. 69 เวลา 00:29-00:35 น.</t>
        </is>
      </c>
      <c r="U148" s="142" t="inlineStr">
        <is>
          <t>USA STOCK HIS 2</t>
        </is>
      </c>
      <c r="V148" s="158" t="inlineStr">
        <is>
          <t>Confirmed</t>
        </is>
      </c>
      <c r="W148" s="146" t="n">
        <v>3</v>
      </c>
      <c r="X148" s="137" t="inlineStr">
        <is>
          <t>USD</t>
        </is>
      </c>
    </row>
    <row r="149">
      <c r="B149" s="153" t="inlineStr">
        <is>
          <t>TX-00144</t>
        </is>
      </c>
      <c r="C149" s="144" t="n">
        <v>46084</v>
      </c>
      <c r="D149" s="154" t="inlineStr"/>
      <c r="E149" s="137" t="inlineStr">
        <is>
          <t>Buy</t>
        </is>
      </c>
      <c r="F149" s="136" t="inlineStr">
        <is>
          <t>Dime FCD USD</t>
        </is>
      </c>
      <c r="G149" s="136" t="inlineStr">
        <is>
          <t>Dime US Stocks</t>
        </is>
      </c>
      <c r="H149" s="159" t="n">
        <v>8</v>
      </c>
      <c r="I149" s="137" t="inlineStr">
        <is>
          <t>USD</t>
        </is>
      </c>
      <c r="J149" s="155">
        <f>IFERROR(LOOKUP(2,1/(tblFX[Date]&lt;=[@Date]),tblFX[Rate]),XLOOKUP("CURRENT_FX_USDTHB",tblSettings[Key],tblSettings[Value]))</f>
        <v/>
      </c>
      <c r="K149" s="128">
        <f>H149*J149</f>
        <v/>
      </c>
      <c r="L149" s="137" t="inlineStr">
        <is>
          <t>Investment</t>
        </is>
      </c>
      <c r="M149" s="136" t="inlineStr">
        <is>
          <t>US Stocks</t>
        </is>
      </c>
      <c r="N149" s="137" t="inlineStr">
        <is>
          <t>UNH</t>
        </is>
      </c>
      <c r="O149" s="156" t="n">
        <v>0.02756871502219281</v>
      </c>
      <c r="P149" s="157" t="n">
        <v>290.184</v>
      </c>
      <c r="Q149" s="146" t="n">
        <v>0</v>
      </c>
      <c r="R149" s="146" t="inlineStr"/>
      <c r="S149" s="142" t="inlineStr"/>
      <c r="T149" s="142" t="inlineStr">
        <is>
          <t>3 มีนาคม 2569 (ช่วงเที่ยงคืน) — ซื้อวันที่ 3 มี.ค. 69 เวลา 00:29-00:35 น.</t>
        </is>
      </c>
      <c r="U149" s="142" t="inlineStr">
        <is>
          <t>USA STOCK HIS 2</t>
        </is>
      </c>
      <c r="V149" s="158" t="inlineStr">
        <is>
          <t>Confirmed</t>
        </is>
      </c>
      <c r="W149" s="146" t="n">
        <v>8</v>
      </c>
      <c r="X149" s="137" t="inlineStr">
        <is>
          <t>USD</t>
        </is>
      </c>
    </row>
    <row r="150">
      <c r="B150" s="153" t="inlineStr">
        <is>
          <t>TX-00145</t>
        </is>
      </c>
      <c r="C150" s="144" t="n">
        <v>46084</v>
      </c>
      <c r="D150" s="154" t="inlineStr"/>
      <c r="E150" s="137" t="inlineStr">
        <is>
          <t>Buy</t>
        </is>
      </c>
      <c r="F150" s="136" t="inlineStr">
        <is>
          <t>Dime FCD USD</t>
        </is>
      </c>
      <c r="G150" s="136" t="inlineStr">
        <is>
          <t>Dime US Stocks</t>
        </is>
      </c>
      <c r="H150" s="159" t="n">
        <v>6</v>
      </c>
      <c r="I150" s="137" t="inlineStr">
        <is>
          <t>USD</t>
        </is>
      </c>
      <c r="J150" s="155">
        <f>IFERROR(LOOKUP(2,1/(tblFX[Date]&lt;=[@Date]),tblFX[Rate]),XLOOKUP("CURRENT_FX_USDTHB",tblSettings[Key],tblSettings[Value]))</f>
        <v/>
      </c>
      <c r="K150" s="128">
        <f>H150*J150</f>
        <v/>
      </c>
      <c r="L150" s="137" t="inlineStr">
        <is>
          <t>Investment</t>
        </is>
      </c>
      <c r="M150" s="136" t="inlineStr">
        <is>
          <t>US Stocks</t>
        </is>
      </c>
      <c r="N150" s="137" t="inlineStr">
        <is>
          <t>V</t>
        </is>
      </c>
      <c r="O150" s="156" t="n">
        <v>0.01879510825982357</v>
      </c>
      <c r="P150" s="157" t="n">
        <v>319.232</v>
      </c>
      <c r="Q150" s="146" t="n">
        <v>0</v>
      </c>
      <c r="R150" s="146" t="inlineStr"/>
      <c r="S150" s="142" t="inlineStr"/>
      <c r="T150" s="142" t="inlineStr">
        <is>
          <t>3 มีนาคม 2569 (ช่วงเที่ยงคืน) — ซื้อวันที่ 3 มี.ค. 69 เวลา 00:29-00:35 น.</t>
        </is>
      </c>
      <c r="U150" s="142" t="inlineStr">
        <is>
          <t>USA STOCK HIS 2</t>
        </is>
      </c>
      <c r="V150" s="158" t="inlineStr">
        <is>
          <t>Confirmed</t>
        </is>
      </c>
      <c r="W150" s="146" t="n">
        <v>6</v>
      </c>
      <c r="X150" s="137" t="inlineStr">
        <is>
          <t>USD</t>
        </is>
      </c>
    </row>
    <row r="151">
      <c r="B151" s="153" t="inlineStr">
        <is>
          <t>TX-00146</t>
        </is>
      </c>
      <c r="C151" s="144" t="n">
        <v>46084</v>
      </c>
      <c r="D151" s="154" t="inlineStr"/>
      <c r="E151" s="137" t="inlineStr">
        <is>
          <t>Sell</t>
        </is>
      </c>
      <c r="F151" s="136" t="inlineStr">
        <is>
          <t>Dime US Stocks</t>
        </is>
      </c>
      <c r="G151" s="136" t="inlineStr">
        <is>
          <t>Dime FCD USD</t>
        </is>
      </c>
      <c r="H151" s="159" t="n">
        <v>125.6</v>
      </c>
      <c r="I151" s="137" t="inlineStr">
        <is>
          <t>USD</t>
        </is>
      </c>
      <c r="J151" s="155">
        <f>IFERROR(LOOKUP(2,1/(tblFX[Date]&lt;=[@Date]),tblFX[Rate]),XLOOKUP("CURRENT_FX_USDTHB",tblSettings[Key],tblSettings[Value]))</f>
        <v/>
      </c>
      <c r="K151" s="128">
        <f>H151*J151</f>
        <v/>
      </c>
      <c r="L151" s="137" t="inlineStr">
        <is>
          <t>Investment</t>
        </is>
      </c>
      <c r="M151" s="136" t="inlineStr">
        <is>
          <t>US Stocks</t>
        </is>
      </c>
      <c r="N151" s="137" t="inlineStr">
        <is>
          <t>SCHD</t>
        </is>
      </c>
      <c r="O151" s="156" t="n">
        <v>4</v>
      </c>
      <c r="P151" s="157" t="n">
        <v>31.4</v>
      </c>
      <c r="Q151" s="146" t="n">
        <v>0</v>
      </c>
      <c r="R151" s="146" t="n">
        <v>15.1025</v>
      </c>
      <c r="S151" s="142" t="inlineStr">
        <is>
          <t>Foreign Capital Gain</t>
        </is>
      </c>
      <c r="T151" s="142" t="inlineStr">
        <is>
          <t>ขายทั้งจำนวน avg cost $27.6244</t>
        </is>
      </c>
      <c r="U151" s="142" t="inlineStr">
        <is>
          <t>USA STOCK HIS 2</t>
        </is>
      </c>
      <c r="V151" s="158" t="inlineStr">
        <is>
          <t>Confirmed</t>
        </is>
      </c>
      <c r="W151" s="146" t="n">
        <v>125.6</v>
      </c>
      <c r="X151" s="137" t="inlineStr">
        <is>
          <t>USD</t>
        </is>
      </c>
    </row>
    <row r="152">
      <c r="B152" s="153" t="inlineStr">
        <is>
          <t>TX-00147</t>
        </is>
      </c>
      <c r="C152" s="144" t="n">
        <v>46086</v>
      </c>
      <c r="D152" s="154" t="inlineStr">
        <is>
          <t>22:54:48</t>
        </is>
      </c>
      <c r="E152" s="137" t="inlineStr">
        <is>
          <t>Buy</t>
        </is>
      </c>
      <c r="F152" s="136" t="inlineStr">
        <is>
          <t>Dime FCD USD</t>
        </is>
      </c>
      <c r="G152" s="136" t="inlineStr">
        <is>
          <t>Dime Gold</t>
        </is>
      </c>
      <c r="H152" s="159" t="n">
        <v>19.88</v>
      </c>
      <c r="I152" s="137" t="inlineStr">
        <is>
          <t>USD</t>
        </is>
      </c>
      <c r="J152" s="155">
        <f>IFERROR(LOOKUP(2,1/(tblFX[Date]&lt;=[@Date]),tblFX[Rate]),XLOOKUP("CURRENT_FX_USDTHB",tblSettings[Key],tblSettings[Value]))</f>
        <v/>
      </c>
      <c r="K152" s="128">
        <f>H152*J152</f>
        <v/>
      </c>
      <c r="L152" s="137" t="inlineStr">
        <is>
          <t>Investment</t>
        </is>
      </c>
      <c r="M152" s="136" t="inlineStr">
        <is>
          <t>Gold</t>
        </is>
      </c>
      <c r="N152" s="137" t="inlineStr">
        <is>
          <t>MTS-GOLD</t>
        </is>
      </c>
      <c r="O152" s="156" t="n">
        <v>0.0039</v>
      </c>
      <c r="P152" s="157" t="n">
        <v>5096.97</v>
      </c>
      <c r="Q152" s="146" t="n">
        <v>0</v>
      </c>
      <c r="R152" s="146" t="inlineStr"/>
      <c r="S152" s="142" t="inlineStr"/>
      <c r="T152" s="142" t="inlineStr"/>
      <c r="U152" s="142" t="inlineStr">
        <is>
          <t>Dime app IMG_7097-7102</t>
        </is>
      </c>
      <c r="V152" s="158" t="inlineStr">
        <is>
          <t>Confirmed</t>
        </is>
      </c>
      <c r="W152" s="146" t="n">
        <v>19.88</v>
      </c>
      <c r="X152" s="137" t="inlineStr">
        <is>
          <t>USD</t>
        </is>
      </c>
    </row>
    <row r="153">
      <c r="B153" s="153" t="inlineStr">
        <is>
          <t>TX-00148</t>
        </is>
      </c>
      <c r="C153" s="144" t="n">
        <v>46087</v>
      </c>
      <c r="D153" s="154" t="inlineStr"/>
      <c r="E153" s="137" t="inlineStr">
        <is>
          <t>Buy</t>
        </is>
      </c>
      <c r="F153" s="136" t="inlineStr">
        <is>
          <t>Dime FCD USD</t>
        </is>
      </c>
      <c r="G153" s="136" t="inlineStr">
        <is>
          <t>Dime US Stocks</t>
        </is>
      </c>
      <c r="H153" s="159" t="n">
        <v>20</v>
      </c>
      <c r="I153" s="137" t="inlineStr">
        <is>
          <t>USD</t>
        </is>
      </c>
      <c r="J153" s="155">
        <f>IFERROR(LOOKUP(2,1/(tblFX[Date]&lt;=[@Date]),tblFX[Rate]),XLOOKUP("CURRENT_FX_USDTHB",tblSettings[Key],tblSettings[Value]))</f>
        <v/>
      </c>
      <c r="K153" s="128">
        <f>H153*J153</f>
        <v/>
      </c>
      <c r="L153" s="137" t="inlineStr">
        <is>
          <t>Investment</t>
        </is>
      </c>
      <c r="M153" s="136" t="inlineStr">
        <is>
          <t>US Stocks</t>
        </is>
      </c>
      <c r="N153" s="137" t="inlineStr">
        <is>
          <t>AAPL</t>
        </is>
      </c>
      <c r="O153" s="156" t="n">
        <v>0.0778476676838762</v>
      </c>
      <c r="P153" s="157" t="n">
        <v>256.912</v>
      </c>
      <c r="Q153" s="146" t="n">
        <v>0</v>
      </c>
      <c r="R153" s="146" t="inlineStr"/>
      <c r="S153" s="142" t="inlineStr"/>
      <c r="T153" s="142" t="inlineStr">
        <is>
          <t>6 มีนาคม 2569 — ซื้อวันที่ 6 มี.ค. 69 เวลา 22:33-23:05 น.</t>
        </is>
      </c>
      <c r="U153" s="142" t="inlineStr">
        <is>
          <t>USA STOCK HIS 2</t>
        </is>
      </c>
      <c r="V153" s="158" t="inlineStr">
        <is>
          <t>Confirmed</t>
        </is>
      </c>
      <c r="W153" s="146" t="n">
        <v>20</v>
      </c>
      <c r="X153" s="137" t="inlineStr">
        <is>
          <t>USD</t>
        </is>
      </c>
    </row>
    <row r="154">
      <c r="B154" s="153" t="inlineStr">
        <is>
          <t>TX-00149</t>
        </is>
      </c>
      <c r="C154" s="144" t="n">
        <v>46087</v>
      </c>
      <c r="D154" s="154" t="inlineStr"/>
      <c r="E154" s="137" t="inlineStr">
        <is>
          <t>Buy</t>
        </is>
      </c>
      <c r="F154" s="136" t="inlineStr">
        <is>
          <t>Dime FCD USD</t>
        </is>
      </c>
      <c r="G154" s="136" t="inlineStr">
        <is>
          <t>Dime US Stocks</t>
        </is>
      </c>
      <c r="H154" s="159" t="n">
        <v>10</v>
      </c>
      <c r="I154" s="137" t="inlineStr">
        <is>
          <t>USD</t>
        </is>
      </c>
      <c r="J154" s="155">
        <f>IFERROR(LOOKUP(2,1/(tblFX[Date]&lt;=[@Date]),tblFX[Rate]),XLOOKUP("CURRENT_FX_USDTHB",tblSettings[Key],tblSettings[Value]))</f>
        <v/>
      </c>
      <c r="K154" s="128">
        <f>H154*J154</f>
        <v/>
      </c>
      <c r="L154" s="137" t="inlineStr">
        <is>
          <t>Investment</t>
        </is>
      </c>
      <c r="M154" s="136" t="inlineStr">
        <is>
          <t>US Stocks</t>
        </is>
      </c>
      <c r="N154" s="137" t="inlineStr">
        <is>
          <t>PRCT</t>
        </is>
      </c>
      <c r="O154" s="156" t="n">
        <v>0.4308487720809995</v>
      </c>
      <c r="P154" s="157" t="n">
        <v>23.21</v>
      </c>
      <c r="Q154" s="146" t="n">
        <v>0</v>
      </c>
      <c r="R154" s="146" t="inlineStr"/>
      <c r="S154" s="142" t="inlineStr"/>
      <c r="T154" s="142" t="inlineStr">
        <is>
          <t>6 มีนาคม 2569 — ซื้อวันที่ 6 มี.ค. 69 เวลา 22:33-23:05 น.</t>
        </is>
      </c>
      <c r="U154" s="142" t="inlineStr">
        <is>
          <t>USA STOCK HIS 2</t>
        </is>
      </c>
      <c r="V154" s="158" t="inlineStr">
        <is>
          <t>Confirmed</t>
        </is>
      </c>
      <c r="W154" s="146" t="n">
        <v>10</v>
      </c>
      <c r="X154" s="137" t="inlineStr">
        <is>
          <t>USD</t>
        </is>
      </c>
    </row>
    <row r="155">
      <c r="B155" s="153" t="inlineStr">
        <is>
          <t>TX-00150</t>
        </is>
      </c>
      <c r="C155" s="144" t="n">
        <v>46087</v>
      </c>
      <c r="D155" s="154" t="inlineStr"/>
      <c r="E155" s="137" t="inlineStr">
        <is>
          <t>Sell</t>
        </is>
      </c>
      <c r="F155" s="136" t="inlineStr">
        <is>
          <t>Dime US Stocks</t>
        </is>
      </c>
      <c r="G155" s="136" t="inlineStr">
        <is>
          <t>Dime FCD USD</t>
        </is>
      </c>
      <c r="H155" s="159" t="n">
        <v>16.2368</v>
      </c>
      <c r="I155" s="137" t="inlineStr">
        <is>
          <t>USD</t>
        </is>
      </c>
      <c r="J155" s="155">
        <f>IFERROR(LOOKUP(2,1/(tblFX[Date]&lt;=[@Date]),tblFX[Rate]),XLOOKUP("CURRENT_FX_USDTHB",tblSettings[Key],tblSettings[Value]))</f>
        <v/>
      </c>
      <c r="K155" s="128">
        <f>H155*J155</f>
        <v/>
      </c>
      <c r="L155" s="137" t="inlineStr">
        <is>
          <t>Investment</t>
        </is>
      </c>
      <c r="M155" s="136" t="inlineStr">
        <is>
          <t>US Stocks</t>
        </is>
      </c>
      <c r="N155" s="137" t="inlineStr">
        <is>
          <t>AMPX</t>
        </is>
      </c>
      <c r="O155" s="156" t="n">
        <v>1</v>
      </c>
      <c r="P155" s="157" t="n">
        <v>16.2368</v>
      </c>
      <c r="Q155" s="146" t="n">
        <v>0</v>
      </c>
      <c r="R155" s="146" t="n">
        <v>8.651960000000001</v>
      </c>
      <c r="S155" s="142" t="inlineStr">
        <is>
          <t>Foreign Capital Gain</t>
        </is>
      </c>
      <c r="T155" s="142" t="inlineStr">
        <is>
          <t>ขายทั้งจำนวน avg cost $7.5848</t>
        </is>
      </c>
      <c r="U155" s="142" t="inlineStr">
        <is>
          <t>USA STOCK HIS 2</t>
        </is>
      </c>
      <c r="V155" s="158" t="inlineStr">
        <is>
          <t>Confirmed</t>
        </is>
      </c>
      <c r="W155" s="146" t="n">
        <v>16.2368</v>
      </c>
      <c r="X155" s="137" t="inlineStr">
        <is>
          <t>USD</t>
        </is>
      </c>
    </row>
    <row r="156">
      <c r="B156" s="153" t="inlineStr">
        <is>
          <t>TX-00151</t>
        </is>
      </c>
      <c r="C156" s="144" t="n">
        <v>46097</v>
      </c>
      <c r="D156" s="154" t="inlineStr">
        <is>
          <t>09:57:29</t>
        </is>
      </c>
      <c r="E156" s="137" t="inlineStr">
        <is>
          <t>Sell</t>
        </is>
      </c>
      <c r="F156" s="136" t="inlineStr">
        <is>
          <t>Dime Gold</t>
        </is>
      </c>
      <c r="G156" s="136" t="inlineStr">
        <is>
          <t>Dime FCD USD</t>
        </is>
      </c>
      <c r="H156" s="159" t="n">
        <v>141.66</v>
      </c>
      <c r="I156" s="137" t="inlineStr">
        <is>
          <t>USD</t>
        </is>
      </c>
      <c r="J156" s="155">
        <f>IFERROR(LOOKUP(2,1/(tblFX[Date]&lt;=[@Date]),tblFX[Rate]),XLOOKUP("CURRENT_FX_USDTHB",tblSettings[Key],tblSettings[Value]))</f>
        <v/>
      </c>
      <c r="K156" s="128">
        <f>H156*J156</f>
        <v/>
      </c>
      <c r="L156" s="137" t="inlineStr">
        <is>
          <t>Investment</t>
        </is>
      </c>
      <c r="M156" s="136" t="inlineStr">
        <is>
          <t>Gold</t>
        </is>
      </c>
      <c r="N156" s="137" t="inlineStr">
        <is>
          <t>MTS-GOLD</t>
        </is>
      </c>
      <c r="O156" s="156" t="n">
        <v>0.0283</v>
      </c>
      <c r="P156" s="157" t="n">
        <v>5005.73</v>
      </c>
      <c r="Q156" s="146" t="n">
        <v>0</v>
      </c>
      <c r="R156" s="146" t="n">
        <v>-4.0106</v>
      </c>
      <c r="S156" s="142" t="inlineStr">
        <is>
          <t>Foreign Capital Gain</t>
        </is>
      </c>
      <c r="T156" s="142" t="inlineStr">
        <is>
          <t>Recovered from Dime screenshot - MISSING in legacy GOLD HIS</t>
        </is>
      </c>
      <c r="U156" s="142" t="inlineStr">
        <is>
          <t>Dime app IMG_7097-7102</t>
        </is>
      </c>
      <c r="V156" s="158" t="inlineStr">
        <is>
          <t>Confirmed</t>
        </is>
      </c>
      <c r="W156" s="146" t="n">
        <v>141.66</v>
      </c>
      <c r="X156" s="137" t="inlineStr">
        <is>
          <t>USD</t>
        </is>
      </c>
    </row>
    <row r="157">
      <c r="B157" s="153" t="inlineStr">
        <is>
          <t>TX-00152</t>
        </is>
      </c>
      <c r="C157" s="144" t="n">
        <v>46101</v>
      </c>
      <c r="D157" s="154" t="inlineStr">
        <is>
          <t>08:35:48</t>
        </is>
      </c>
      <c r="E157" s="137" t="inlineStr">
        <is>
          <t>Buy</t>
        </is>
      </c>
      <c r="F157" s="136" t="inlineStr">
        <is>
          <t>Dime FCD USD</t>
        </is>
      </c>
      <c r="G157" s="136" t="inlineStr">
        <is>
          <t>Dime Gold</t>
        </is>
      </c>
      <c r="H157" s="159" t="n">
        <v>29.92</v>
      </c>
      <c r="I157" s="137" t="inlineStr">
        <is>
          <t>USD</t>
        </is>
      </c>
      <c r="J157" s="155">
        <f>IFERROR(LOOKUP(2,1/(tblFX[Date]&lt;=[@Date]),tblFX[Rate]),XLOOKUP("CURRENT_FX_USDTHB",tblSettings[Key],tblSettings[Value]))</f>
        <v/>
      </c>
      <c r="K157" s="128">
        <f>H157*J157</f>
        <v/>
      </c>
      <c r="L157" s="137" t="inlineStr">
        <is>
          <t>Investment</t>
        </is>
      </c>
      <c r="M157" s="136" t="inlineStr">
        <is>
          <t>Gold</t>
        </is>
      </c>
      <c r="N157" s="137" t="inlineStr">
        <is>
          <t>MTS-GOLD</t>
        </is>
      </c>
      <c r="O157" s="156" t="n">
        <v>0.0064</v>
      </c>
      <c r="P157" s="157" t="n">
        <v>4675.32</v>
      </c>
      <c r="Q157" s="146" t="n">
        <v>0</v>
      </c>
      <c r="R157" s="146" t="inlineStr"/>
      <c r="S157" s="142" t="inlineStr"/>
      <c r="T157" s="142" t="inlineStr">
        <is>
          <t>Recovered from Dime screenshot - MISSING in legacy GOLD HIS</t>
        </is>
      </c>
      <c r="U157" s="142" t="inlineStr">
        <is>
          <t>Dime app IMG_7097-7102</t>
        </is>
      </c>
      <c r="V157" s="158" t="inlineStr">
        <is>
          <t>Confirmed</t>
        </is>
      </c>
      <c r="W157" s="146" t="n">
        <v>29.92</v>
      </c>
      <c r="X157" s="137" t="inlineStr">
        <is>
          <t>USD</t>
        </is>
      </c>
    </row>
    <row r="158">
      <c r="B158" s="153" t="inlineStr">
        <is>
          <t>TX-00153</t>
        </is>
      </c>
      <c r="C158" s="144" t="n">
        <v>46111</v>
      </c>
      <c r="D158" s="154" t="inlineStr"/>
      <c r="E158" s="137" t="inlineStr">
        <is>
          <t>Buy</t>
        </is>
      </c>
      <c r="F158" s="136" t="inlineStr">
        <is>
          <t>Dime FCD USD</t>
        </is>
      </c>
      <c r="G158" s="136" t="inlineStr">
        <is>
          <t>Dime US Stocks</t>
        </is>
      </c>
      <c r="H158" s="159" t="n">
        <v>2.29</v>
      </c>
      <c r="I158" s="137" t="inlineStr">
        <is>
          <t>USD</t>
        </is>
      </c>
      <c r="J158" s="155">
        <f>IFERROR(LOOKUP(2,1/(tblFX[Date]&lt;=[@Date]),tblFX[Rate]),XLOOKUP("CURRENT_FX_USDTHB",tblSettings[Key],tblSettings[Value]))</f>
        <v/>
      </c>
      <c r="K158" s="128">
        <f>H158*J158</f>
        <v/>
      </c>
      <c r="L158" s="137" t="inlineStr">
        <is>
          <t>Investment</t>
        </is>
      </c>
      <c r="M158" s="136" t="inlineStr">
        <is>
          <t>US Stocks</t>
        </is>
      </c>
      <c r="N158" s="137" t="inlineStr">
        <is>
          <t>AAPL</t>
        </is>
      </c>
      <c r="O158" s="156" t="n">
        <v>0.009232307431805904</v>
      </c>
      <c r="P158" s="157" t="n">
        <v>248.042</v>
      </c>
      <c r="Q158" s="146" t="n">
        <v>0</v>
      </c>
      <c r="R158" s="146" t="inlineStr"/>
      <c r="S158" s="142" t="inlineStr"/>
      <c r="T158" s="142" t="inlineStr">
        <is>
          <t>มีนาคม 2569 — ซื้อวันที่ 30 มี.ค. 69 เวลา 21:04-21:12 น. (ย้อนหลังจาก Google Drive backup)</t>
        </is>
      </c>
      <c r="U158" s="142" t="inlineStr">
        <is>
          <t>USA STOCK HIS 2</t>
        </is>
      </c>
      <c r="V158" s="158" t="inlineStr">
        <is>
          <t>Confirmed</t>
        </is>
      </c>
      <c r="W158" s="146" t="n">
        <v>2.29</v>
      </c>
      <c r="X158" s="137" t="inlineStr">
        <is>
          <t>USD</t>
        </is>
      </c>
    </row>
    <row r="159">
      <c r="B159" s="153" t="inlineStr">
        <is>
          <t>TX-00154</t>
        </is>
      </c>
      <c r="C159" s="144" t="n">
        <v>46111</v>
      </c>
      <c r="D159" s="154" t="inlineStr"/>
      <c r="E159" s="137" t="inlineStr">
        <is>
          <t>Buy</t>
        </is>
      </c>
      <c r="F159" s="136" t="inlineStr">
        <is>
          <t>Dime FCD USD</t>
        </is>
      </c>
      <c r="G159" s="136" t="inlineStr">
        <is>
          <t>Dime US Stocks</t>
        </is>
      </c>
      <c r="H159" s="159" t="n">
        <v>5</v>
      </c>
      <c r="I159" s="137" t="inlineStr">
        <is>
          <t>USD</t>
        </is>
      </c>
      <c r="J159" s="155">
        <f>IFERROR(LOOKUP(2,1/(tblFX[Date]&lt;=[@Date]),tblFX[Rate]),XLOOKUP("CURRENT_FX_USDTHB",tblSettings[Key],tblSettings[Value]))</f>
        <v/>
      </c>
      <c r="K159" s="128">
        <f>H159*J159</f>
        <v/>
      </c>
      <c r="L159" s="137" t="inlineStr">
        <is>
          <t>Investment</t>
        </is>
      </c>
      <c r="M159" s="136" t="inlineStr">
        <is>
          <t>US Stocks</t>
        </is>
      </c>
      <c r="N159" s="137" t="inlineStr">
        <is>
          <t>AMPX</t>
        </is>
      </c>
      <c r="O159" s="156" t="n">
        <v>0.3212541763042919</v>
      </c>
      <c r="P159" s="157" t="n">
        <v>15.564</v>
      </c>
      <c r="Q159" s="146" t="n">
        <v>0</v>
      </c>
      <c r="R159" s="146" t="inlineStr"/>
      <c r="S159" s="142" t="inlineStr"/>
      <c r="T159" s="142" t="inlineStr">
        <is>
          <t>มีนาคม 2569 — ซื้อวันที่ 30 มี.ค. 69 เวลา 21:04-21:12 น. (ย้อนหลังจาก Google Drive backup)</t>
        </is>
      </c>
      <c r="U159" s="142" t="inlineStr">
        <is>
          <t>USA STOCK HIS 2</t>
        </is>
      </c>
      <c r="V159" s="158" t="inlineStr">
        <is>
          <t>Confirmed</t>
        </is>
      </c>
      <c r="W159" s="146" t="n">
        <v>5</v>
      </c>
      <c r="X159" s="137" t="inlineStr">
        <is>
          <t>USD</t>
        </is>
      </c>
    </row>
    <row r="160">
      <c r="B160" s="153" t="inlineStr">
        <is>
          <t>TX-00155</t>
        </is>
      </c>
      <c r="C160" s="144" t="n">
        <v>46111</v>
      </c>
      <c r="D160" s="154" t="inlineStr"/>
      <c r="E160" s="137" t="inlineStr">
        <is>
          <t>Buy</t>
        </is>
      </c>
      <c r="F160" s="136" t="inlineStr">
        <is>
          <t>Dime FCD USD</t>
        </is>
      </c>
      <c r="G160" s="136" t="inlineStr">
        <is>
          <t>Dime US Stocks</t>
        </is>
      </c>
      <c r="H160" s="159" t="n">
        <v>3.82</v>
      </c>
      <c r="I160" s="137" t="inlineStr">
        <is>
          <t>USD</t>
        </is>
      </c>
      <c r="J160" s="155">
        <f>IFERROR(LOOKUP(2,1/(tblFX[Date]&lt;=[@Date]),tblFX[Rate]),XLOOKUP("CURRENT_FX_USDTHB",tblSettings[Key],tblSettings[Value]))</f>
        <v/>
      </c>
      <c r="K160" s="128">
        <f>H160*J160</f>
        <v/>
      </c>
      <c r="L160" s="137" t="inlineStr">
        <is>
          <t>Investment</t>
        </is>
      </c>
      <c r="M160" s="136" t="inlineStr">
        <is>
          <t>US Stocks</t>
        </is>
      </c>
      <c r="N160" s="137" t="inlineStr">
        <is>
          <t>AMZN</t>
        </is>
      </c>
      <c r="O160" s="156" t="n">
        <v>0.01897024353422589</v>
      </c>
      <c r="P160" s="157" t="n">
        <v>201.368</v>
      </c>
      <c r="Q160" s="146" t="n">
        <v>0</v>
      </c>
      <c r="R160" s="146" t="inlineStr"/>
      <c r="S160" s="142" t="inlineStr"/>
      <c r="T160" s="142" t="inlineStr">
        <is>
          <t>มีนาคม 2569 — ซื้อวันที่ 30 มี.ค. 69 เวลา 21:04-21:12 น. (ย้อนหลังจาก Google Drive backup)</t>
        </is>
      </c>
      <c r="U160" s="142" t="inlineStr">
        <is>
          <t>USA STOCK HIS 2</t>
        </is>
      </c>
      <c r="V160" s="158" t="inlineStr">
        <is>
          <t>Confirmed</t>
        </is>
      </c>
      <c r="W160" s="146" t="n">
        <v>3.82</v>
      </c>
      <c r="X160" s="137" t="inlineStr">
        <is>
          <t>USD</t>
        </is>
      </c>
    </row>
    <row r="161">
      <c r="B161" s="153" t="inlineStr">
        <is>
          <t>TX-00156</t>
        </is>
      </c>
      <c r="C161" s="144" t="n">
        <v>46111</v>
      </c>
      <c r="D161" s="154" t="inlineStr"/>
      <c r="E161" s="137" t="inlineStr">
        <is>
          <t>Buy</t>
        </is>
      </c>
      <c r="F161" s="136" t="inlineStr">
        <is>
          <t>Dime FCD USD</t>
        </is>
      </c>
      <c r="G161" s="136" t="inlineStr">
        <is>
          <t>Dime US Stocks</t>
        </is>
      </c>
      <c r="H161" s="159" t="n">
        <v>2</v>
      </c>
      <c r="I161" s="137" t="inlineStr">
        <is>
          <t>USD</t>
        </is>
      </c>
      <c r="J161" s="155">
        <f>IFERROR(LOOKUP(2,1/(tblFX[Date]&lt;=[@Date]),tblFX[Rate]),XLOOKUP("CURRENT_FX_USDTHB",tblSettings[Key],tblSettings[Value]))</f>
        <v/>
      </c>
      <c r="K161" s="128">
        <f>H161*J161</f>
        <v/>
      </c>
      <c r="L161" s="137" t="inlineStr">
        <is>
          <t>Investment</t>
        </is>
      </c>
      <c r="M161" s="136" t="inlineStr">
        <is>
          <t>US Stocks</t>
        </is>
      </c>
      <c r="N161" s="137" t="inlineStr">
        <is>
          <t>BEPC</t>
        </is>
      </c>
      <c r="O161" s="156" t="n">
        <v>0.05042355788624445</v>
      </c>
      <c r="P161" s="157" t="n">
        <v>39.664</v>
      </c>
      <c r="Q161" s="146" t="n">
        <v>0</v>
      </c>
      <c r="R161" s="146" t="inlineStr"/>
      <c r="S161" s="142" t="inlineStr"/>
      <c r="T161" s="142" t="inlineStr">
        <is>
          <t>มีนาคม 2569 — ซื้อวันที่ 30 มี.ค. 69 เวลา 21:04-21:12 น. (ย้อนหลังจาก Google Drive backup)</t>
        </is>
      </c>
      <c r="U161" s="142" t="inlineStr">
        <is>
          <t>USA STOCK HIS 2</t>
        </is>
      </c>
      <c r="V161" s="158" t="inlineStr">
        <is>
          <t>Confirmed</t>
        </is>
      </c>
      <c r="W161" s="146" t="n">
        <v>2</v>
      </c>
      <c r="X161" s="137" t="inlineStr">
        <is>
          <t>USD</t>
        </is>
      </c>
    </row>
    <row r="162">
      <c r="B162" s="153" t="inlineStr">
        <is>
          <t>TX-00157</t>
        </is>
      </c>
      <c r="C162" s="144" t="n">
        <v>46111</v>
      </c>
      <c r="D162" s="154" t="inlineStr"/>
      <c r="E162" s="137" t="inlineStr">
        <is>
          <t>Buy</t>
        </is>
      </c>
      <c r="F162" s="136" t="inlineStr">
        <is>
          <t>Dime FCD USD</t>
        </is>
      </c>
      <c r="G162" s="136" t="inlineStr">
        <is>
          <t>Dime US Stocks</t>
        </is>
      </c>
      <c r="H162" s="159" t="n">
        <v>2.29</v>
      </c>
      <c r="I162" s="137" t="inlineStr">
        <is>
          <t>USD</t>
        </is>
      </c>
      <c r="J162" s="155">
        <f>IFERROR(LOOKUP(2,1/(tblFX[Date]&lt;=[@Date]),tblFX[Rate]),XLOOKUP("CURRENT_FX_USDTHB",tblSettings[Key],tblSettings[Value]))</f>
        <v/>
      </c>
      <c r="K162" s="128">
        <f>H162*J162</f>
        <v/>
      </c>
      <c r="L162" s="137" t="inlineStr">
        <is>
          <t>Investment</t>
        </is>
      </c>
      <c r="M162" s="136" t="inlineStr">
        <is>
          <t>US Stocks</t>
        </is>
      </c>
      <c r="N162" s="137" t="inlineStr">
        <is>
          <t>GOOGL</t>
        </is>
      </c>
      <c r="O162" s="156" t="n">
        <v>0.008360898741849036</v>
      </c>
      <c r="P162" s="157" t="n">
        <v>273.894</v>
      </c>
      <c r="Q162" s="146" t="n">
        <v>0</v>
      </c>
      <c r="R162" s="146" t="inlineStr"/>
      <c r="S162" s="142" t="inlineStr"/>
      <c r="T162" s="142" t="inlineStr">
        <is>
          <t>มีนาคม 2569 — ซื้อวันที่ 30 มี.ค. 69 เวลา 21:04-21:12 น. (ย้อนหลังจาก Google Drive backup)</t>
        </is>
      </c>
      <c r="U162" s="142" t="inlineStr">
        <is>
          <t>USA STOCK HIS 2</t>
        </is>
      </c>
      <c r="V162" s="158" t="inlineStr">
        <is>
          <t>Confirmed</t>
        </is>
      </c>
      <c r="W162" s="146" t="n">
        <v>2.29</v>
      </c>
      <c r="X162" s="137" t="inlineStr">
        <is>
          <t>USD</t>
        </is>
      </c>
    </row>
    <row r="163">
      <c r="B163" s="153" t="inlineStr">
        <is>
          <t>TX-00158</t>
        </is>
      </c>
      <c r="C163" s="144" t="n">
        <v>46111</v>
      </c>
      <c r="D163" s="154" t="inlineStr"/>
      <c r="E163" s="137" t="inlineStr">
        <is>
          <t>Buy</t>
        </is>
      </c>
      <c r="F163" s="136" t="inlineStr">
        <is>
          <t>Dime FCD USD</t>
        </is>
      </c>
      <c r="G163" s="136" t="inlineStr">
        <is>
          <t>Dime US Stocks</t>
        </is>
      </c>
      <c r="H163" s="159" t="n">
        <v>2.29</v>
      </c>
      <c r="I163" s="137" t="inlineStr">
        <is>
          <t>USD</t>
        </is>
      </c>
      <c r="J163" s="155">
        <f>IFERROR(LOOKUP(2,1/(tblFX[Date]&lt;=[@Date]),tblFX[Rate]),XLOOKUP("CURRENT_FX_USDTHB",tblSettings[Key],tblSettings[Value]))</f>
        <v/>
      </c>
      <c r="K163" s="128">
        <f>H163*J163</f>
        <v/>
      </c>
      <c r="L163" s="137" t="inlineStr">
        <is>
          <t>Investment</t>
        </is>
      </c>
      <c r="M163" s="136" t="inlineStr">
        <is>
          <t>US Stocks</t>
        </is>
      </c>
      <c r="N163" s="137" t="inlineStr">
        <is>
          <t>LLY</t>
        </is>
      </c>
      <c r="O163" s="156" t="n">
        <v>0.002571490813377142</v>
      </c>
      <c r="P163" s="157" t="n">
        <v>890.534</v>
      </c>
      <c r="Q163" s="146" t="n">
        <v>0</v>
      </c>
      <c r="R163" s="146" t="inlineStr"/>
      <c r="S163" s="142" t="inlineStr"/>
      <c r="T163" s="142" t="inlineStr">
        <is>
          <t>มีนาคม 2569 — ซื้อวันที่ 30 มี.ค. 69 เวลา 21:04-21:12 น. (ย้อนหลังจาก Google Drive backup)</t>
        </is>
      </c>
      <c r="U163" s="142" t="inlineStr">
        <is>
          <t>USA STOCK HIS 2</t>
        </is>
      </c>
      <c r="V163" s="158" t="inlineStr">
        <is>
          <t>Confirmed</t>
        </is>
      </c>
      <c r="W163" s="146" t="n">
        <v>2.29</v>
      </c>
      <c r="X163" s="137" t="inlineStr">
        <is>
          <t>USD</t>
        </is>
      </c>
    </row>
    <row r="164">
      <c r="B164" s="153" t="inlineStr">
        <is>
          <t>TX-00159</t>
        </is>
      </c>
      <c r="C164" s="144" t="n">
        <v>46111</v>
      </c>
      <c r="D164" s="154" t="inlineStr"/>
      <c r="E164" s="137" t="inlineStr">
        <is>
          <t>Buy</t>
        </is>
      </c>
      <c r="F164" s="136" t="inlineStr">
        <is>
          <t>Dime FCD USD</t>
        </is>
      </c>
      <c r="G164" s="136" t="inlineStr">
        <is>
          <t>Dime US Stocks</t>
        </is>
      </c>
      <c r="H164" s="159" t="n">
        <v>11.5</v>
      </c>
      <c r="I164" s="137" t="inlineStr">
        <is>
          <t>USD</t>
        </is>
      </c>
      <c r="J164" s="155">
        <f>IFERROR(LOOKUP(2,1/(tblFX[Date]&lt;=[@Date]),tblFX[Rate]),XLOOKUP("CURRENT_FX_USDTHB",tblSettings[Key],tblSettings[Value]))</f>
        <v/>
      </c>
      <c r="K164" s="128">
        <f>H164*J164</f>
        <v/>
      </c>
      <c r="L164" s="137" t="inlineStr">
        <is>
          <t>Investment</t>
        </is>
      </c>
      <c r="M164" s="136" t="inlineStr">
        <is>
          <t>US Stocks</t>
        </is>
      </c>
      <c r="N164" s="137" t="inlineStr">
        <is>
          <t>META</t>
        </is>
      </c>
      <c r="O164" s="156" t="n">
        <v>0.02166557396815349</v>
      </c>
      <c r="P164" s="157" t="n">
        <v>530.796</v>
      </c>
      <c r="Q164" s="146" t="n">
        <v>0</v>
      </c>
      <c r="R164" s="146" t="inlineStr"/>
      <c r="S164" s="142" t="inlineStr"/>
      <c r="T164" s="142" t="inlineStr">
        <is>
          <t>มีนาคม 2569 — ซื้อวันที่ 30 มี.ค. 69 เวลา 21:04-21:12 น. (ย้อนหลังจาก Google Drive backup)</t>
        </is>
      </c>
      <c r="U164" s="142" t="inlineStr">
        <is>
          <t>USA STOCK HIS 2</t>
        </is>
      </c>
      <c r="V164" s="158" t="inlineStr">
        <is>
          <t>Confirmed</t>
        </is>
      </c>
      <c r="W164" s="146" t="n">
        <v>11.5</v>
      </c>
      <c r="X164" s="137" t="inlineStr">
        <is>
          <t>USD</t>
        </is>
      </c>
    </row>
    <row r="165">
      <c r="B165" s="153" t="inlineStr">
        <is>
          <t>TX-00160</t>
        </is>
      </c>
      <c r="C165" s="144" t="n">
        <v>46111</v>
      </c>
      <c r="D165" s="154" t="inlineStr"/>
      <c r="E165" s="137" t="inlineStr">
        <is>
          <t>Buy</t>
        </is>
      </c>
      <c r="F165" s="136" t="inlineStr">
        <is>
          <t>Dime FCD USD</t>
        </is>
      </c>
      <c r="G165" s="136" t="inlineStr">
        <is>
          <t>Dime US Stocks</t>
        </is>
      </c>
      <c r="H165" s="159" t="n">
        <v>11.48</v>
      </c>
      <c r="I165" s="137" t="inlineStr">
        <is>
          <t>USD</t>
        </is>
      </c>
      <c r="J165" s="155">
        <f>IFERROR(LOOKUP(2,1/(tblFX[Date]&lt;=[@Date]),tblFX[Rate]),XLOOKUP("CURRENT_FX_USDTHB",tblSettings[Key],tblSettings[Value]))</f>
        <v/>
      </c>
      <c r="K165" s="128">
        <f>H165*J165</f>
        <v/>
      </c>
      <c r="L165" s="137" t="inlineStr">
        <is>
          <t>Investment</t>
        </is>
      </c>
      <c r="M165" s="136" t="inlineStr">
        <is>
          <t>US Stocks</t>
        </is>
      </c>
      <c r="N165" s="137" t="inlineStr">
        <is>
          <t>MSFT</t>
        </is>
      </c>
      <c r="O165" s="156" t="n">
        <v>0.03184854739552123</v>
      </c>
      <c r="P165" s="157" t="n">
        <v>360.456</v>
      </c>
      <c r="Q165" s="146" t="n">
        <v>0</v>
      </c>
      <c r="R165" s="146" t="inlineStr"/>
      <c r="S165" s="142" t="inlineStr"/>
      <c r="T165" s="142" t="inlineStr">
        <is>
          <t>มีนาคม 2569 — ซื้อวันที่ 30 มี.ค. 69 เวลา 21:04-21:12 น. (ย้อนหลังจาก Google Drive backup)</t>
        </is>
      </c>
      <c r="U165" s="142" t="inlineStr">
        <is>
          <t>USA STOCK HIS 2</t>
        </is>
      </c>
      <c r="V165" s="158" t="inlineStr">
        <is>
          <t>Confirmed</t>
        </is>
      </c>
      <c r="W165" s="146" t="n">
        <v>11.48</v>
      </c>
      <c r="X165" s="137" t="inlineStr">
        <is>
          <t>USD</t>
        </is>
      </c>
    </row>
    <row r="166">
      <c r="B166" s="153" t="inlineStr">
        <is>
          <t>TX-00161</t>
        </is>
      </c>
      <c r="C166" s="144" t="n">
        <v>46111</v>
      </c>
      <c r="D166" s="154" t="inlineStr"/>
      <c r="E166" s="137" t="inlineStr">
        <is>
          <t>Buy</t>
        </is>
      </c>
      <c r="F166" s="136" t="inlineStr">
        <is>
          <t>Dime FCD USD</t>
        </is>
      </c>
      <c r="G166" s="136" t="inlineStr">
        <is>
          <t>Dime US Stocks</t>
        </is>
      </c>
      <c r="H166" s="159" t="n">
        <v>2.29</v>
      </c>
      <c r="I166" s="137" t="inlineStr">
        <is>
          <t>USD</t>
        </is>
      </c>
      <c r="J166" s="155">
        <f>IFERROR(LOOKUP(2,1/(tblFX[Date]&lt;=[@Date]),tblFX[Rate]),XLOOKUP("CURRENT_FX_USDTHB",tblSettings[Key],tblSettings[Value]))</f>
        <v/>
      </c>
      <c r="K166" s="128">
        <f>H166*J166</f>
        <v/>
      </c>
      <c r="L166" s="137" t="inlineStr">
        <is>
          <t>Investment</t>
        </is>
      </c>
      <c r="M166" s="136" t="inlineStr">
        <is>
          <t>US Stocks</t>
        </is>
      </c>
      <c r="N166" s="137" t="inlineStr">
        <is>
          <t>NVDA</t>
        </is>
      </c>
      <c r="O166" s="156" t="n">
        <v>0.01374978985037347</v>
      </c>
      <c r="P166" s="157" t="n">
        <v>166.548</v>
      </c>
      <c r="Q166" s="146" t="n">
        <v>0</v>
      </c>
      <c r="R166" s="146" t="inlineStr"/>
      <c r="S166" s="142" t="inlineStr"/>
      <c r="T166" s="142" t="inlineStr">
        <is>
          <t>มีนาคม 2569 — ซื้อวันที่ 30 มี.ค. 69 เวลา 21:04-21:12 น. (ย้อนหลังจาก Google Drive backup)</t>
        </is>
      </c>
      <c r="U166" s="142" t="inlineStr">
        <is>
          <t>USA STOCK HIS 2</t>
        </is>
      </c>
      <c r="V166" s="158" t="inlineStr">
        <is>
          <t>Confirmed</t>
        </is>
      </c>
      <c r="W166" s="146" t="n">
        <v>2.29</v>
      </c>
      <c r="X166" s="137" t="inlineStr">
        <is>
          <t>USD</t>
        </is>
      </c>
    </row>
    <row r="167">
      <c r="B167" s="153" t="inlineStr">
        <is>
          <t>TX-00162</t>
        </is>
      </c>
      <c r="C167" s="144" t="n">
        <v>46111</v>
      </c>
      <c r="D167" s="154" t="inlineStr"/>
      <c r="E167" s="137" t="inlineStr">
        <is>
          <t>Buy</t>
        </is>
      </c>
      <c r="F167" s="136" t="inlineStr">
        <is>
          <t>Dime FCD USD</t>
        </is>
      </c>
      <c r="G167" s="136" t="inlineStr">
        <is>
          <t>Dime US Stocks</t>
        </is>
      </c>
      <c r="H167" s="159" t="n">
        <v>3.82</v>
      </c>
      <c r="I167" s="137" t="inlineStr">
        <is>
          <t>USD</t>
        </is>
      </c>
      <c r="J167" s="155">
        <f>IFERROR(LOOKUP(2,1/(tblFX[Date]&lt;=[@Date]),tblFX[Rate]),XLOOKUP("CURRENT_FX_USDTHB",tblSettings[Key],tblSettings[Value]))</f>
        <v/>
      </c>
      <c r="K167" s="128">
        <f>H167*J167</f>
        <v/>
      </c>
      <c r="L167" s="137" t="inlineStr">
        <is>
          <t>Investment</t>
        </is>
      </c>
      <c r="M167" s="136" t="inlineStr">
        <is>
          <t>US Stocks</t>
        </is>
      </c>
      <c r="N167" s="137" t="inlineStr">
        <is>
          <t>PRCT</t>
        </is>
      </c>
      <c r="O167" s="156" t="n">
        <v>0.1501218266132201</v>
      </c>
      <c r="P167" s="157" t="n">
        <v>25.446</v>
      </c>
      <c r="Q167" s="146" t="n">
        <v>0</v>
      </c>
      <c r="R167" s="146" t="inlineStr"/>
      <c r="S167" s="142" t="inlineStr"/>
      <c r="T167" s="142" t="inlineStr">
        <is>
          <t>มีนาคม 2569 — ซื้อวันที่ 30 มี.ค. 69 เวลา 21:04-21:12 น. (ย้อนหลังจาก Google Drive backup)</t>
        </is>
      </c>
      <c r="U167" s="142" t="inlineStr">
        <is>
          <t>USA STOCK HIS 2</t>
        </is>
      </c>
      <c r="V167" s="158" t="inlineStr">
        <is>
          <t>Confirmed</t>
        </is>
      </c>
      <c r="W167" s="146" t="n">
        <v>3.82</v>
      </c>
      <c r="X167" s="137" t="inlineStr">
        <is>
          <t>USD</t>
        </is>
      </c>
    </row>
    <row r="168">
      <c r="B168" s="153" t="inlineStr">
        <is>
          <t>TX-00163</t>
        </is>
      </c>
      <c r="C168" s="144" t="n">
        <v>46111</v>
      </c>
      <c r="D168" s="154" t="inlineStr"/>
      <c r="E168" s="137" t="inlineStr">
        <is>
          <t>Buy</t>
        </is>
      </c>
      <c r="F168" s="136" t="inlineStr">
        <is>
          <t>Dime FCD USD</t>
        </is>
      </c>
      <c r="G168" s="136" t="inlineStr">
        <is>
          <t>Dime US Stocks</t>
        </is>
      </c>
      <c r="H168" s="159" t="n">
        <v>2.29</v>
      </c>
      <c r="I168" s="137" t="inlineStr">
        <is>
          <t>USD</t>
        </is>
      </c>
      <c r="J168" s="155">
        <f>IFERROR(LOOKUP(2,1/(tblFX[Date]&lt;=[@Date]),tblFX[Rate]),XLOOKUP("CURRENT_FX_USDTHB",tblSettings[Key],tblSettings[Value]))</f>
        <v/>
      </c>
      <c r="K168" s="128">
        <f>H168*J168</f>
        <v/>
      </c>
      <c r="L168" s="137" t="inlineStr">
        <is>
          <t>Investment</t>
        </is>
      </c>
      <c r="M168" s="136" t="inlineStr">
        <is>
          <t>US Stocks</t>
        </is>
      </c>
      <c r="N168" s="137" t="inlineStr">
        <is>
          <t>SCHD</t>
        </is>
      </c>
      <c r="O168" s="156" t="n">
        <v>0.0746950225063605</v>
      </c>
      <c r="P168" s="157" t="n">
        <v>30.658</v>
      </c>
      <c r="Q168" s="146" t="n">
        <v>0</v>
      </c>
      <c r="R168" s="146" t="inlineStr"/>
      <c r="S168" s="142" t="inlineStr"/>
      <c r="T168" s="142" t="inlineStr">
        <is>
          <t>มีนาคม 2569 — ซื้อวันที่ 30 มี.ค. 69 เวลา 21:04-21:12 น. (ย้อนหลังจาก Google Drive backup)</t>
        </is>
      </c>
      <c r="U168" s="142" t="inlineStr">
        <is>
          <t>USA STOCK HIS 2</t>
        </is>
      </c>
      <c r="V168" s="158" t="inlineStr">
        <is>
          <t>Confirmed</t>
        </is>
      </c>
      <c r="W168" s="146" t="n">
        <v>2.29</v>
      </c>
      <c r="X168" s="137" t="inlineStr">
        <is>
          <t>USD</t>
        </is>
      </c>
    </row>
    <row r="169">
      <c r="B169" s="153" t="inlineStr">
        <is>
          <t>TX-00164</t>
        </is>
      </c>
      <c r="C169" s="144" t="n">
        <v>46111</v>
      </c>
      <c r="D169" s="154" t="inlineStr"/>
      <c r="E169" s="137" t="inlineStr">
        <is>
          <t>Buy</t>
        </is>
      </c>
      <c r="F169" s="136" t="inlineStr">
        <is>
          <t>Dime FCD USD</t>
        </is>
      </c>
      <c r="G169" s="136" t="inlineStr">
        <is>
          <t>Dime US Stocks</t>
        </is>
      </c>
      <c r="H169" s="159" t="n">
        <v>3.82</v>
      </c>
      <c r="I169" s="137" t="inlineStr">
        <is>
          <t>USD</t>
        </is>
      </c>
      <c r="J169" s="155">
        <f>IFERROR(LOOKUP(2,1/(tblFX[Date]&lt;=[@Date]),tblFX[Rate]),XLOOKUP("CURRENT_FX_USDTHB",tblSettings[Key],tblSettings[Value]))</f>
        <v/>
      </c>
      <c r="K169" s="128">
        <f>H169*J169</f>
        <v/>
      </c>
      <c r="L169" s="137" t="inlineStr">
        <is>
          <t>Investment</t>
        </is>
      </c>
      <c r="M169" s="136" t="inlineStr">
        <is>
          <t>US Stocks</t>
        </is>
      </c>
      <c r="N169" s="137" t="inlineStr">
        <is>
          <t>SCHG</t>
        </is>
      </c>
      <c r="O169" s="156" t="n">
        <v>0.1353745835991211</v>
      </c>
      <c r="P169" s="157" t="n">
        <v>28.218</v>
      </c>
      <c r="Q169" s="146" t="n">
        <v>0</v>
      </c>
      <c r="R169" s="146" t="inlineStr"/>
      <c r="S169" s="142" t="inlineStr"/>
      <c r="T169" s="142" t="inlineStr">
        <is>
          <t>มีนาคม 2569 — ซื้อวันที่ 30 มี.ค. 69 เวลา 21:04-21:12 น. (ย้อนหลังจาก Google Drive backup)</t>
        </is>
      </c>
      <c r="U169" s="142" t="inlineStr">
        <is>
          <t>USA STOCK HIS 2</t>
        </is>
      </c>
      <c r="V169" s="158" t="inlineStr">
        <is>
          <t>Confirmed</t>
        </is>
      </c>
      <c r="W169" s="146" t="n">
        <v>3.82</v>
      </c>
      <c r="X169" s="137" t="inlineStr">
        <is>
          <t>USD</t>
        </is>
      </c>
    </row>
    <row r="170">
      <c r="B170" s="153" t="inlineStr">
        <is>
          <t>TX-00165</t>
        </is>
      </c>
      <c r="C170" s="144" t="n">
        <v>46111</v>
      </c>
      <c r="D170" s="154" t="inlineStr"/>
      <c r="E170" s="137" t="inlineStr">
        <is>
          <t>Buy</t>
        </is>
      </c>
      <c r="F170" s="136" t="inlineStr">
        <is>
          <t>Dime FCD USD</t>
        </is>
      </c>
      <c r="G170" s="136" t="inlineStr">
        <is>
          <t>Dime US Stocks</t>
        </is>
      </c>
      <c r="H170" s="159" t="n">
        <v>3.82</v>
      </c>
      <c r="I170" s="137" t="inlineStr">
        <is>
          <t>USD</t>
        </is>
      </c>
      <c r="J170" s="155">
        <f>IFERROR(LOOKUP(2,1/(tblFX[Date]&lt;=[@Date]),tblFX[Rate]),XLOOKUP("CURRENT_FX_USDTHB",tblSettings[Key],tblSettings[Value]))</f>
        <v/>
      </c>
      <c r="K170" s="128">
        <f>H170*J170</f>
        <v/>
      </c>
      <c r="L170" s="137" t="inlineStr">
        <is>
          <t>Investment</t>
        </is>
      </c>
      <c r="M170" s="136" t="inlineStr">
        <is>
          <t>US Stocks</t>
        </is>
      </c>
      <c r="N170" s="137" t="inlineStr">
        <is>
          <t>V</t>
        </is>
      </c>
      <c r="O170" s="156" t="n">
        <v>0.01284085408487065</v>
      </c>
      <c r="P170" s="157" t="n">
        <v>297.488</v>
      </c>
      <c r="Q170" s="146" t="n">
        <v>0</v>
      </c>
      <c r="R170" s="146" t="inlineStr"/>
      <c r="S170" s="142" t="inlineStr"/>
      <c r="T170" s="142" t="inlineStr">
        <is>
          <t>มีนาคม 2569 — ซื้อวันที่ 30 มี.ค. 69 เวลา 21:04-21:12 น. (ย้อนหลังจาก Google Drive backup)</t>
        </is>
      </c>
      <c r="U170" s="142" t="inlineStr">
        <is>
          <t>USA STOCK HIS 2</t>
        </is>
      </c>
      <c r="V170" s="158" t="inlineStr">
        <is>
          <t>Confirmed</t>
        </is>
      </c>
      <c r="W170" s="146" t="n">
        <v>3.82</v>
      </c>
      <c r="X170" s="137" t="inlineStr">
        <is>
          <t>USD</t>
        </is>
      </c>
    </row>
    <row r="171">
      <c r="B171" s="153" t="inlineStr">
        <is>
          <t>TX-00166</t>
        </is>
      </c>
      <c r="C171" s="144" t="n">
        <v>46111</v>
      </c>
      <c r="D171" s="154" t="inlineStr">
        <is>
          <t>21:13:26</t>
        </is>
      </c>
      <c r="E171" s="137" t="inlineStr">
        <is>
          <t>Transfer</t>
        </is>
      </c>
      <c r="F171" s="136" t="inlineStr">
        <is>
          <t>Dime Save THB</t>
        </is>
      </c>
      <c r="G171" s="136" t="inlineStr">
        <is>
          <t>Dime FCD USD</t>
        </is>
      </c>
      <c r="H171" s="130" t="n">
        <v>999.87</v>
      </c>
      <c r="I171" s="137" t="inlineStr">
        <is>
          <t>THB</t>
        </is>
      </c>
      <c r="J171" s="155" t="n">
        <v>1</v>
      </c>
      <c r="K171" s="128">
        <f>H171*J171</f>
        <v/>
      </c>
      <c r="L171" s="137" t="inlineStr">
        <is>
          <t>Transfer</t>
        </is>
      </c>
      <c r="M171" s="136" t="inlineStr">
        <is>
          <t>FX Conversion</t>
        </is>
      </c>
      <c r="N171" s="137" t="inlineStr"/>
      <c r="O171" s="156" t="inlineStr"/>
      <c r="P171" s="157" t="inlineStr"/>
      <c r="Q171" s="146" t="n">
        <v>0</v>
      </c>
      <c r="R171" s="146" t="inlineStr"/>
      <c r="S171" s="142" t="inlineStr"/>
      <c r="T171" s="142" t="inlineStr">
        <is>
          <t>แลก ฿999.87 -&gt; $30.29 @ 33.0099</t>
        </is>
      </c>
      <c r="U171" s="142" t="inlineStr">
        <is>
          <t>DIME EX</t>
        </is>
      </c>
      <c r="V171" s="158" t="inlineStr">
        <is>
          <t>Confirmed</t>
        </is>
      </c>
      <c r="W171" s="146" t="n">
        <v>30.29</v>
      </c>
      <c r="X171" s="137" t="inlineStr">
        <is>
          <t>USD</t>
        </is>
      </c>
    </row>
    <row r="172">
      <c r="B172" s="153" t="inlineStr">
        <is>
          <t>TX-00167</t>
        </is>
      </c>
      <c r="C172" s="144" t="n">
        <v>46112</v>
      </c>
      <c r="D172" s="154" t="inlineStr">
        <is>
          <t>07:31:21</t>
        </is>
      </c>
      <c r="E172" s="137" t="inlineStr">
        <is>
          <t>Transfer</t>
        </is>
      </c>
      <c r="F172" s="136" t="inlineStr">
        <is>
          <t>N/A</t>
        </is>
      </c>
      <c r="G172" s="136" t="inlineStr">
        <is>
          <t>Dime Save THB</t>
        </is>
      </c>
      <c r="H172" s="130" t="n">
        <v>4000</v>
      </c>
      <c r="I172" s="137" t="inlineStr">
        <is>
          <t>THB</t>
        </is>
      </c>
      <c r="J172" s="155" t="n">
        <v>1</v>
      </c>
      <c r="K172" s="128">
        <f>H172*J172</f>
        <v/>
      </c>
      <c r="L172" s="137" t="inlineStr">
        <is>
          <t>Transfer</t>
        </is>
      </c>
      <c r="M172" s="136" t="inlineStr">
        <is>
          <t>Incoming Funding</t>
        </is>
      </c>
      <c r="N172" s="137" t="inlineStr"/>
      <c r="O172" s="156" t="inlineStr"/>
      <c r="P172" s="157" t="inlineStr"/>
      <c r="Q172" s="146" t="n">
        <v>0</v>
      </c>
      <c r="R172" s="146" t="inlineStr"/>
      <c r="S172" s="142" t="inlineStr"/>
      <c r="T172" s="142" t="inlineStr">
        <is>
          <t>ต้นทางยังไม่ระบุในหลักฐาน — ต้องยืนยันว่าเป็นบัญชีตัวเอง (Transfer) หรือรายได้ (Income)</t>
        </is>
      </c>
      <c r="U172" s="142" t="inlineStr">
        <is>
          <t>ประวัติโยกเงิน</t>
        </is>
      </c>
      <c r="V172" s="160" t="inlineStr">
        <is>
          <t>Pending</t>
        </is>
      </c>
      <c r="W172" s="128" t="n">
        <v>4000</v>
      </c>
      <c r="X172" s="137" t="inlineStr">
        <is>
          <t>THB</t>
        </is>
      </c>
    </row>
    <row r="173">
      <c r="B173" s="153" t="inlineStr">
        <is>
          <t>TX-00168</t>
        </is>
      </c>
      <c r="C173" s="144" t="n">
        <v>46113</v>
      </c>
      <c r="D173" s="154" t="inlineStr"/>
      <c r="E173" s="137" t="inlineStr">
        <is>
          <t>PVD Contribution</t>
        </is>
      </c>
      <c r="F173" s="136" t="inlineStr">
        <is>
          <t>N/A</t>
        </is>
      </c>
      <c r="G173" s="136" t="inlineStr">
        <is>
          <t>PVD</t>
        </is>
      </c>
      <c r="H173" s="130" t="n">
        <v>2841.75</v>
      </c>
      <c r="I173" s="137" t="inlineStr">
        <is>
          <t>THB</t>
        </is>
      </c>
      <c r="J173" s="155" t="n">
        <v>1</v>
      </c>
      <c r="K173" s="128">
        <f>H173*J173</f>
        <v/>
      </c>
      <c r="L173" s="137" t="inlineStr">
        <is>
          <t>Investment</t>
        </is>
      </c>
      <c r="M173" s="136" t="inlineStr">
        <is>
          <t>PVD</t>
        </is>
      </c>
      <c r="N173" s="137" t="inlineStr">
        <is>
          <t>PVD</t>
        </is>
      </c>
      <c r="O173" s="156" t="inlineStr"/>
      <c r="P173" s="157" t="inlineStr"/>
      <c r="Q173" s="146" t="n">
        <v>0</v>
      </c>
      <c r="R173" s="146" t="inlineStr"/>
      <c r="S173" s="142" t="inlineStr">
        <is>
          <t>PVD Deduction (ลดหย่อนภาษี)</t>
        </is>
      </c>
      <c r="T173" s="142" t="inlineStr">
        <is>
          <t>เงินสะสมพนักงาน (หักจากเงินเดือนก่อนเข้าบัญชี) — เมษายน 2569</t>
        </is>
      </c>
      <c r="U173" s="142" t="inlineStr">
        <is>
          <t>PVD HIS (delta)</t>
        </is>
      </c>
      <c r="V173" s="158" t="inlineStr">
        <is>
          <t>Confirmed</t>
        </is>
      </c>
      <c r="W173" s="128" t="n">
        <v>2841.75</v>
      </c>
      <c r="X173" s="137" t="inlineStr">
        <is>
          <t>THB</t>
        </is>
      </c>
    </row>
    <row r="174">
      <c r="B174" s="153" t="inlineStr">
        <is>
          <t>TX-00169</t>
        </is>
      </c>
      <c r="C174" s="144" t="n">
        <v>46113</v>
      </c>
      <c r="D174" s="154" t="inlineStr"/>
      <c r="E174" s="137" t="inlineStr">
        <is>
          <t>PVD Employer</t>
        </is>
      </c>
      <c r="F174" s="136" t="inlineStr">
        <is>
          <t>N/A</t>
        </is>
      </c>
      <c r="G174" s="136" t="inlineStr">
        <is>
          <t>PVD</t>
        </is>
      </c>
      <c r="H174" s="130" t="n">
        <v>2273.4</v>
      </c>
      <c r="I174" s="137" t="inlineStr">
        <is>
          <t>THB</t>
        </is>
      </c>
      <c r="J174" s="155" t="n">
        <v>1</v>
      </c>
      <c r="K174" s="128">
        <f>H174*J174</f>
        <v/>
      </c>
      <c r="L174" s="137" t="inlineStr">
        <is>
          <t>Investment</t>
        </is>
      </c>
      <c r="M174" s="136" t="inlineStr">
        <is>
          <t>PVD</t>
        </is>
      </c>
      <c r="N174" s="137" t="inlineStr">
        <is>
          <t>PVD</t>
        </is>
      </c>
      <c r="O174" s="156" t="inlineStr"/>
      <c r="P174" s="157" t="inlineStr"/>
      <c r="Q174" s="146" t="n">
        <v>0</v>
      </c>
      <c r="R174" s="146" t="inlineStr"/>
      <c r="S174" s="142" t="inlineStr">
        <is>
          <t>Employer Contribution (ไม่เป็นเงินได้)</t>
        </is>
      </c>
      <c r="T174" s="142" t="inlineStr">
        <is>
          <t>เงินสมทบนายจ้าง — เมษายน 2569</t>
        </is>
      </c>
      <c r="U174" s="142" t="inlineStr">
        <is>
          <t>PVD HIS (delta)</t>
        </is>
      </c>
      <c r="V174" s="158" t="inlineStr">
        <is>
          <t>Confirmed</t>
        </is>
      </c>
      <c r="W174" s="128" t="n">
        <v>2273.4</v>
      </c>
      <c r="X174" s="137" t="inlineStr">
        <is>
          <t>THB</t>
        </is>
      </c>
    </row>
    <row r="175">
      <c r="B175" s="153" t="inlineStr">
        <is>
          <t>TX-00170</t>
        </is>
      </c>
      <c r="C175" s="144" t="n">
        <v>46113</v>
      </c>
      <c r="D175" s="154" t="inlineStr">
        <is>
          <t>19:33:39</t>
        </is>
      </c>
      <c r="E175" s="137" t="inlineStr">
        <is>
          <t>Sell</t>
        </is>
      </c>
      <c r="F175" s="136" t="inlineStr">
        <is>
          <t>Dime Gold</t>
        </is>
      </c>
      <c r="G175" s="136" t="inlineStr">
        <is>
          <t>Dime FCD USD</t>
        </is>
      </c>
      <c r="H175" s="159" t="n">
        <v>30.34</v>
      </c>
      <c r="I175" s="137" t="inlineStr">
        <is>
          <t>USD</t>
        </is>
      </c>
      <c r="J175" s="155">
        <f>IFERROR(LOOKUP(2,1/(tblFX[Date]&lt;=[@Date]),tblFX[Rate]),XLOOKUP("CURRENT_FX_USDTHB",tblSettings[Key],tblSettings[Value]))</f>
        <v/>
      </c>
      <c r="K175" s="128">
        <f>H175*J175</f>
        <v/>
      </c>
      <c r="L175" s="137" t="inlineStr">
        <is>
          <t>Investment</t>
        </is>
      </c>
      <c r="M175" s="136" t="inlineStr">
        <is>
          <t>Gold</t>
        </is>
      </c>
      <c r="N175" s="137" t="inlineStr">
        <is>
          <t>MTS-GOLD</t>
        </is>
      </c>
      <c r="O175" s="156" t="n">
        <v>0.0064</v>
      </c>
      <c r="P175" s="157" t="n">
        <v>4740.01</v>
      </c>
      <c r="Q175" s="146" t="n">
        <v>0</v>
      </c>
      <c r="R175" s="146" t="n">
        <v>0.414</v>
      </c>
      <c r="S175" s="142" t="inlineStr">
        <is>
          <t>Foreign Capital Gain</t>
        </is>
      </c>
      <c r="T175" s="142" t="inlineStr"/>
      <c r="U175" s="142" t="inlineStr">
        <is>
          <t>Dime app IMG_7097-7102</t>
        </is>
      </c>
      <c r="V175" s="158" t="inlineStr">
        <is>
          <t>Confirmed</t>
        </is>
      </c>
      <c r="W175" s="146" t="n">
        <v>30.34</v>
      </c>
      <c r="X175" s="137" t="inlineStr">
        <is>
          <t>USD</t>
        </is>
      </c>
    </row>
    <row r="176">
      <c r="B176" s="153" t="inlineStr">
        <is>
          <t>TX-00171</t>
        </is>
      </c>
      <c r="C176" s="144" t="n">
        <v>46115</v>
      </c>
      <c r="D176" s="154" t="inlineStr">
        <is>
          <t>09:11:15</t>
        </is>
      </c>
      <c r="E176" s="137" t="inlineStr">
        <is>
          <t>Transfer</t>
        </is>
      </c>
      <c r="F176" s="136" t="inlineStr">
        <is>
          <t>Dime Save THB</t>
        </is>
      </c>
      <c r="G176" s="136" t="inlineStr">
        <is>
          <t>Dime FCD USD</t>
        </is>
      </c>
      <c r="H176" s="130" t="n">
        <v>999.6</v>
      </c>
      <c r="I176" s="137" t="inlineStr">
        <is>
          <t>THB</t>
        </is>
      </c>
      <c r="J176" s="155" t="n">
        <v>1</v>
      </c>
      <c r="K176" s="128">
        <f>H176*J176</f>
        <v/>
      </c>
      <c r="L176" s="137" t="inlineStr">
        <is>
          <t>Transfer</t>
        </is>
      </c>
      <c r="M176" s="136" t="inlineStr">
        <is>
          <t>FX Conversion</t>
        </is>
      </c>
      <c r="N176" s="137" t="inlineStr"/>
      <c r="O176" s="156" t="inlineStr"/>
      <c r="P176" s="157" t="inlineStr"/>
      <c r="Q176" s="146" t="n">
        <v>0</v>
      </c>
      <c r="R176" s="146" t="inlineStr"/>
      <c r="S176" s="142" t="inlineStr"/>
      <c r="T176" s="142" t="inlineStr">
        <is>
          <t>แลก ฿999.60 -&gt; $30.55 @ 32.7201</t>
        </is>
      </c>
      <c r="U176" s="142" t="inlineStr">
        <is>
          <t>DIME EX</t>
        </is>
      </c>
      <c r="V176" s="158" t="inlineStr">
        <is>
          <t>Confirmed</t>
        </is>
      </c>
      <c r="W176" s="146" t="n">
        <v>30.55</v>
      </c>
      <c r="X176" s="137" t="inlineStr">
        <is>
          <t>USD</t>
        </is>
      </c>
    </row>
    <row r="177">
      <c r="B177" s="153" t="inlineStr">
        <is>
          <t>TX-00172</t>
        </is>
      </c>
      <c r="C177" s="144" t="n">
        <v>46133</v>
      </c>
      <c r="D177" s="154" t="inlineStr"/>
      <c r="E177" s="137" t="inlineStr">
        <is>
          <t>Sell</t>
        </is>
      </c>
      <c r="F177" s="136" t="inlineStr">
        <is>
          <t>Dime US Stocks</t>
        </is>
      </c>
      <c r="G177" s="136" t="inlineStr">
        <is>
          <t>Dime FCD USD</t>
        </is>
      </c>
      <c r="H177" s="159" t="n">
        <v>278.168</v>
      </c>
      <c r="I177" s="137" t="inlineStr">
        <is>
          <t>USD</t>
        </is>
      </c>
      <c r="J177" s="155">
        <f>IFERROR(LOOKUP(2,1/(tblFX[Date]&lt;=[@Date]),tblFX[Rate]),XLOOKUP("CURRENT_FX_USDTHB",tblSettings[Key],tblSettings[Value]))</f>
        <v/>
      </c>
      <c r="K177" s="128">
        <f>H177*J177</f>
        <v/>
      </c>
      <c r="L177" s="137" t="inlineStr">
        <is>
          <t>Investment</t>
        </is>
      </c>
      <c r="M177" s="136" t="inlineStr">
        <is>
          <t>US Stocks</t>
        </is>
      </c>
      <c r="N177" s="137" t="inlineStr">
        <is>
          <t>UNH</t>
        </is>
      </c>
      <c r="O177" s="156" t="n">
        <v>0.795472</v>
      </c>
      <c r="P177" s="157" t="n">
        <v>349.69</v>
      </c>
      <c r="Q177" s="146" t="n">
        <v>0</v>
      </c>
      <c r="R177" s="146" t="n">
        <v>16.6999</v>
      </c>
      <c r="S177" s="142" t="inlineStr">
        <is>
          <t>Foreign Capital Gain</t>
        </is>
      </c>
      <c r="T177" s="142" t="inlineStr">
        <is>
          <t>ขายทั้งจำนวน avg cost $328.6960</t>
        </is>
      </c>
      <c r="U177" s="142" t="inlineStr">
        <is>
          <t>USA STOCK HIS 2</t>
        </is>
      </c>
      <c r="V177" s="158" t="inlineStr">
        <is>
          <t>Confirmed</t>
        </is>
      </c>
      <c r="W177" s="146" t="n">
        <v>278.168</v>
      </c>
      <c r="X177" s="137" t="inlineStr">
        <is>
          <t>USD</t>
        </is>
      </c>
    </row>
    <row r="178">
      <c r="B178" s="153" t="inlineStr">
        <is>
          <t>TX-00173</t>
        </is>
      </c>
      <c r="C178" s="144" t="n">
        <v>46134</v>
      </c>
      <c r="D178" s="154" t="inlineStr"/>
      <c r="E178" s="137" t="inlineStr">
        <is>
          <t>Buy</t>
        </is>
      </c>
      <c r="F178" s="136" t="inlineStr">
        <is>
          <t>Dime FCD USD</t>
        </is>
      </c>
      <c r="G178" s="136" t="inlineStr">
        <is>
          <t>Dime US Stocks</t>
        </is>
      </c>
      <c r="H178" s="159" t="n">
        <v>10</v>
      </c>
      <c r="I178" s="137" t="inlineStr">
        <is>
          <t>USD</t>
        </is>
      </c>
      <c r="J178" s="155">
        <f>IFERROR(LOOKUP(2,1/(tblFX[Date]&lt;=[@Date]),tblFX[Rate]),XLOOKUP("CURRENT_FX_USDTHB",tblSettings[Key],tblSettings[Value]))</f>
        <v/>
      </c>
      <c r="K178" s="128">
        <f>H178*J178</f>
        <v/>
      </c>
      <c r="L178" s="137" t="inlineStr">
        <is>
          <t>Investment</t>
        </is>
      </c>
      <c r="M178" s="136" t="inlineStr">
        <is>
          <t>US Stocks</t>
        </is>
      </c>
      <c r="N178" s="137" t="inlineStr">
        <is>
          <t>PRCT</t>
        </is>
      </c>
      <c r="O178" s="156" t="n">
        <v>0.391910957830381</v>
      </c>
      <c r="P178" s="157" t="n">
        <v>25.516</v>
      </c>
      <c r="Q178" s="146" t="n">
        <v>0</v>
      </c>
      <c r="R178" s="146" t="inlineStr"/>
      <c r="S178" s="142" t="inlineStr"/>
      <c r="T178" s="142" t="inlineStr">
        <is>
          <t>22 เมษายน 2569 — ซื้อวันที่ 22 เม.ย. 69 เวลา 21:31 น.</t>
        </is>
      </c>
      <c r="U178" s="142" t="inlineStr">
        <is>
          <t>USA STOCK HIS 2</t>
        </is>
      </c>
      <c r="V178" s="158" t="inlineStr">
        <is>
          <t>Confirmed</t>
        </is>
      </c>
      <c r="W178" s="146" t="n">
        <v>10</v>
      </c>
      <c r="X178" s="137" t="inlineStr">
        <is>
          <t>USD</t>
        </is>
      </c>
    </row>
    <row r="179">
      <c r="B179" s="153" t="inlineStr">
        <is>
          <t>TX-00174</t>
        </is>
      </c>
      <c r="C179" s="144" t="n">
        <v>46142</v>
      </c>
      <c r="D179" s="154" t="inlineStr">
        <is>
          <t>07:29:29</t>
        </is>
      </c>
      <c r="E179" s="137" t="inlineStr">
        <is>
          <t>Transfer</t>
        </is>
      </c>
      <c r="F179" s="136" t="inlineStr">
        <is>
          <t>N/A</t>
        </is>
      </c>
      <c r="G179" s="136" t="inlineStr">
        <is>
          <t>Dime Save THB</t>
        </is>
      </c>
      <c r="H179" s="130" t="n">
        <v>4000</v>
      </c>
      <c r="I179" s="137" t="inlineStr">
        <is>
          <t>THB</t>
        </is>
      </c>
      <c r="J179" s="155" t="n">
        <v>1</v>
      </c>
      <c r="K179" s="128">
        <f>H179*J179</f>
        <v/>
      </c>
      <c r="L179" s="137" t="inlineStr">
        <is>
          <t>Transfer</t>
        </is>
      </c>
      <c r="M179" s="136" t="inlineStr">
        <is>
          <t>Incoming Funding</t>
        </is>
      </c>
      <c r="N179" s="137" t="inlineStr"/>
      <c r="O179" s="156" t="inlineStr"/>
      <c r="P179" s="157" t="inlineStr"/>
      <c r="Q179" s="146" t="n">
        <v>0</v>
      </c>
      <c r="R179" s="146" t="inlineStr"/>
      <c r="S179" s="142" t="inlineStr"/>
      <c r="T179" s="142" t="inlineStr">
        <is>
          <t>ต้นทางยังไม่ระบุในหลักฐาน — ต้องยืนยันว่าเป็นบัญชีตัวเอง (Transfer) หรือรายได้ (Income)</t>
        </is>
      </c>
      <c r="U179" s="142" t="inlineStr">
        <is>
          <t>ประวัติโยกเงิน</t>
        </is>
      </c>
      <c r="V179" s="160" t="inlineStr">
        <is>
          <t>Pending</t>
        </is>
      </c>
      <c r="W179" s="128" t="n">
        <v>4000</v>
      </c>
      <c r="X179" s="137" t="inlineStr">
        <is>
          <t>THB</t>
        </is>
      </c>
    </row>
    <row r="180">
      <c r="B180" s="153" t="inlineStr">
        <is>
          <t>TX-00175</t>
        </is>
      </c>
      <c r="C180" s="144" t="n">
        <v>46143</v>
      </c>
      <c r="D180" s="154" t="inlineStr"/>
      <c r="E180" s="137" t="inlineStr">
        <is>
          <t>Buy</t>
        </is>
      </c>
      <c r="F180" s="136" t="inlineStr">
        <is>
          <t>Dime FCD USD</t>
        </is>
      </c>
      <c r="G180" s="136" t="inlineStr">
        <is>
          <t>Dime US Stocks</t>
        </is>
      </c>
      <c r="H180" s="159" t="n">
        <v>50</v>
      </c>
      <c r="I180" s="137" t="inlineStr">
        <is>
          <t>USD</t>
        </is>
      </c>
      <c r="J180" s="155">
        <f>IFERROR(LOOKUP(2,1/(tblFX[Date]&lt;=[@Date]),tblFX[Rate]),XLOOKUP("CURRENT_FX_USDTHB",tblSettings[Key],tblSettings[Value]))</f>
        <v/>
      </c>
      <c r="K180" s="128">
        <f>H180*J180</f>
        <v/>
      </c>
      <c r="L180" s="137" t="inlineStr">
        <is>
          <t>Investment</t>
        </is>
      </c>
      <c r="M180" s="136" t="inlineStr">
        <is>
          <t>US Stocks</t>
        </is>
      </c>
      <c r="N180" s="137" t="inlineStr">
        <is>
          <t>META</t>
        </is>
      </c>
      <c r="O180" s="156" t="n">
        <v>0.08225009952262041</v>
      </c>
      <c r="P180" s="157" t="n">
        <v>607.902</v>
      </c>
      <c r="Q180" s="146" t="n">
        <v>0</v>
      </c>
      <c r="R180" s="146" t="inlineStr"/>
      <c r="S180" s="142" t="inlineStr"/>
      <c r="T180" s="142" t="inlineStr">
        <is>
          <t>1 พฤษภาคม 2569 — ซื้อ META วันที่ 1 พ.ค. 69 เวลา 00:10:20 น. (พบจากภาพ IMG_7046, Google Drive โฟลเดอร์ Louis)</t>
        </is>
      </c>
      <c r="U180" s="142" t="inlineStr">
        <is>
          <t>USA STOCK HIS 2</t>
        </is>
      </c>
      <c r="V180" s="158" t="inlineStr">
        <is>
          <t>Confirmed</t>
        </is>
      </c>
      <c r="W180" s="146" t="n">
        <v>50</v>
      </c>
      <c r="X180" s="137" t="inlineStr">
        <is>
          <t>USD</t>
        </is>
      </c>
    </row>
    <row r="181">
      <c r="B181" s="153" t="inlineStr">
        <is>
          <t>TX-00176</t>
        </is>
      </c>
      <c r="C181" s="144" t="n">
        <v>46143</v>
      </c>
      <c r="D181" s="154" t="inlineStr"/>
      <c r="E181" s="137" t="inlineStr">
        <is>
          <t>Buy</t>
        </is>
      </c>
      <c r="F181" s="136" t="inlineStr">
        <is>
          <t>Dime FCD USD</t>
        </is>
      </c>
      <c r="G181" s="136" t="inlineStr">
        <is>
          <t>Dime US Stocks</t>
        </is>
      </c>
      <c r="H181" s="159" t="n">
        <v>50</v>
      </c>
      <c r="I181" s="137" t="inlineStr">
        <is>
          <t>USD</t>
        </is>
      </c>
      <c r="J181" s="155">
        <f>IFERROR(LOOKUP(2,1/(tblFX[Date]&lt;=[@Date]),tblFX[Rate]),XLOOKUP("CURRENT_FX_USDTHB",tblSettings[Key],tblSettings[Value]))</f>
        <v/>
      </c>
      <c r="K181" s="128">
        <f>H181*J181</f>
        <v/>
      </c>
      <c r="L181" s="137" t="inlineStr">
        <is>
          <t>Investment</t>
        </is>
      </c>
      <c r="M181" s="136" t="inlineStr">
        <is>
          <t>US Stocks</t>
        </is>
      </c>
      <c r="N181" s="137" t="inlineStr">
        <is>
          <t>MSFT</t>
        </is>
      </c>
      <c r="O181" s="156" t="n">
        <v>0.1251539393453948</v>
      </c>
      <c r="P181" s="157" t="n">
        <v>399.508</v>
      </c>
      <c r="Q181" s="146" t="n">
        <v>0</v>
      </c>
      <c r="R181" s="146" t="inlineStr"/>
      <c r="S181" s="142" t="inlineStr"/>
      <c r="T181" s="142" t="inlineStr">
        <is>
          <t>1 พฤษภาคม 2569 — ซื้อวันที่ 1 พ.ค. 69 เวลา 00:09 น. (เงินสำรอง/เติมยอดค้าง)</t>
        </is>
      </c>
      <c r="U181" s="142" t="inlineStr">
        <is>
          <t>USA STOCK HIS 2</t>
        </is>
      </c>
      <c r="V181" s="158" t="inlineStr">
        <is>
          <t>Confirmed</t>
        </is>
      </c>
      <c r="W181" s="146" t="n">
        <v>50</v>
      </c>
      <c r="X181" s="137" t="inlineStr">
        <is>
          <t>USD</t>
        </is>
      </c>
    </row>
    <row r="182">
      <c r="B182" s="153" t="inlineStr">
        <is>
          <t>TX-00177</t>
        </is>
      </c>
      <c r="C182" s="144" t="n">
        <v>46143</v>
      </c>
      <c r="D182" s="154" t="inlineStr">
        <is>
          <t>11:49:15</t>
        </is>
      </c>
      <c r="E182" s="137" t="inlineStr">
        <is>
          <t>Buy</t>
        </is>
      </c>
      <c r="F182" s="136" t="inlineStr">
        <is>
          <t>Dime FCD USD</t>
        </is>
      </c>
      <c r="G182" s="136" t="inlineStr">
        <is>
          <t>Dime Gold</t>
        </is>
      </c>
      <c r="H182" s="159" t="n">
        <v>29.52</v>
      </c>
      <c r="I182" s="137" t="inlineStr">
        <is>
          <t>USD</t>
        </is>
      </c>
      <c r="J182" s="155">
        <f>IFERROR(LOOKUP(2,1/(tblFX[Date]&lt;=[@Date]),tblFX[Rate]),XLOOKUP("CURRENT_FX_USDTHB",tblSettings[Key],tblSettings[Value]))</f>
        <v/>
      </c>
      <c r="K182" s="128">
        <f>H182*J182</f>
        <v/>
      </c>
      <c r="L182" s="137" t="inlineStr">
        <is>
          <t>Investment</t>
        </is>
      </c>
      <c r="M182" s="136" t="inlineStr">
        <is>
          <t>Gold</t>
        </is>
      </c>
      <c r="N182" s="137" t="inlineStr">
        <is>
          <t>MTS-GOLD</t>
        </is>
      </c>
      <c r="O182" s="156" t="n">
        <v>0.0064</v>
      </c>
      <c r="P182" s="157" t="n">
        <v>4611.99</v>
      </c>
      <c r="Q182" s="146" t="n">
        <v>0</v>
      </c>
      <c r="R182" s="146" t="inlineStr"/>
      <c r="S182" s="142" t="inlineStr"/>
      <c r="T182" s="142" t="inlineStr"/>
      <c r="U182" s="142" t="inlineStr">
        <is>
          <t>Dime app IMG_7097-7102</t>
        </is>
      </c>
      <c r="V182" s="158" t="inlineStr">
        <is>
          <t>Confirmed</t>
        </is>
      </c>
      <c r="W182" s="146" t="n">
        <v>29.52</v>
      </c>
      <c r="X182" s="137" t="inlineStr">
        <is>
          <t>USD</t>
        </is>
      </c>
    </row>
    <row r="183">
      <c r="B183" s="153" t="inlineStr">
        <is>
          <t>TX-00178</t>
        </is>
      </c>
      <c r="C183" s="144" t="n">
        <v>46143</v>
      </c>
      <c r="D183" s="154" t="inlineStr">
        <is>
          <t>11:50:00</t>
        </is>
      </c>
      <c r="E183" s="137" t="inlineStr">
        <is>
          <t>Transfer</t>
        </is>
      </c>
      <c r="F183" s="136" t="inlineStr">
        <is>
          <t>Dime Save THB</t>
        </is>
      </c>
      <c r="G183" s="136" t="inlineStr">
        <is>
          <t>Dime FCD USD</t>
        </is>
      </c>
      <c r="H183" s="130" t="n">
        <v>999.76</v>
      </c>
      <c r="I183" s="137" t="inlineStr">
        <is>
          <t>THB</t>
        </is>
      </c>
      <c r="J183" s="155" t="n">
        <v>1</v>
      </c>
      <c r="K183" s="128">
        <f>H183*J183</f>
        <v/>
      </c>
      <c r="L183" s="137" t="inlineStr">
        <is>
          <t>Transfer</t>
        </is>
      </c>
      <c r="M183" s="136" t="inlineStr">
        <is>
          <t>FX Conversion</t>
        </is>
      </c>
      <c r="N183" s="137" t="inlineStr"/>
      <c r="O183" s="156" t="inlineStr"/>
      <c r="P183" s="157" t="inlineStr"/>
      <c r="Q183" s="146" t="n">
        <v>0</v>
      </c>
      <c r="R183" s="146" t="inlineStr"/>
      <c r="S183" s="142" t="inlineStr"/>
      <c r="T183" s="142" t="inlineStr">
        <is>
          <t>แลก ฿999.76 -&gt; $30.63 @ 32.6399</t>
        </is>
      </c>
      <c r="U183" s="142" t="inlineStr">
        <is>
          <t>DIME EX</t>
        </is>
      </c>
      <c r="V183" s="158" t="inlineStr">
        <is>
          <t>Confirmed</t>
        </is>
      </c>
      <c r="W183" s="146" t="n">
        <v>30.63</v>
      </c>
      <c r="X183" s="137" t="inlineStr">
        <is>
          <t>USD</t>
        </is>
      </c>
    </row>
    <row r="184">
      <c r="B184" s="153" t="inlineStr">
        <is>
          <t>TX-00179</t>
        </is>
      </c>
      <c r="C184" s="144" t="n">
        <v>46147</v>
      </c>
      <c r="D184" s="154" t="inlineStr"/>
      <c r="E184" s="137" t="inlineStr">
        <is>
          <t>Buy</t>
        </is>
      </c>
      <c r="F184" s="136" t="inlineStr">
        <is>
          <t>Dime FCD USD</t>
        </is>
      </c>
      <c r="G184" s="136" t="inlineStr">
        <is>
          <t>Dime US Stocks</t>
        </is>
      </c>
      <c r="H184" s="159" t="n">
        <v>2.46</v>
      </c>
      <c r="I184" s="137" t="inlineStr">
        <is>
          <t>USD</t>
        </is>
      </c>
      <c r="J184" s="155">
        <f>IFERROR(LOOKUP(2,1/(tblFX[Date]&lt;=[@Date]),tblFX[Rate]),XLOOKUP("CURRENT_FX_USDTHB",tblSettings[Key],tblSettings[Value]))</f>
        <v/>
      </c>
      <c r="K184" s="128">
        <f>H184*J184</f>
        <v/>
      </c>
      <c r="L184" s="137" t="inlineStr">
        <is>
          <t>Investment</t>
        </is>
      </c>
      <c r="M184" s="136" t="inlineStr">
        <is>
          <t>US Stocks</t>
        </is>
      </c>
      <c r="N184" s="137" t="inlineStr">
        <is>
          <t>AAPL</t>
        </is>
      </c>
      <c r="O184" s="156" t="n">
        <v>0.008765740918906207</v>
      </c>
      <c r="P184" s="157" t="n">
        <v>280.638</v>
      </c>
      <c r="Q184" s="146" t="n">
        <v>0</v>
      </c>
      <c r="R184" s="146" t="inlineStr"/>
      <c r="S184" s="142" t="inlineStr"/>
      <c r="T184" s="142" t="inlineStr">
        <is>
          <t>พฤษภาคม 2569 — ซื้อวันที่ 5 พ.ค. 69 เวลา 21:24-21:31 น. (ย้อนหลังจาก Google Drive backup)</t>
        </is>
      </c>
      <c r="U184" s="142" t="inlineStr">
        <is>
          <t>USA STOCK HIS 2</t>
        </is>
      </c>
      <c r="V184" s="158" t="inlineStr">
        <is>
          <t>Confirmed</t>
        </is>
      </c>
      <c r="W184" s="146" t="n">
        <v>2.46</v>
      </c>
      <c r="X184" s="137" t="inlineStr">
        <is>
          <t>USD</t>
        </is>
      </c>
    </row>
    <row r="185">
      <c r="B185" s="153" t="inlineStr">
        <is>
          <t>TX-00180</t>
        </is>
      </c>
      <c r="C185" s="144" t="n">
        <v>46147</v>
      </c>
      <c r="D185" s="154" t="inlineStr"/>
      <c r="E185" s="137" t="inlineStr">
        <is>
          <t>Buy</t>
        </is>
      </c>
      <c r="F185" s="136" t="inlineStr">
        <is>
          <t>Dime FCD USD</t>
        </is>
      </c>
      <c r="G185" s="136" t="inlineStr">
        <is>
          <t>Dime US Stocks</t>
        </is>
      </c>
      <c r="H185" s="159" t="n">
        <v>1.85</v>
      </c>
      <c r="I185" s="137" t="inlineStr">
        <is>
          <t>USD</t>
        </is>
      </c>
      <c r="J185" s="155">
        <f>IFERROR(LOOKUP(2,1/(tblFX[Date]&lt;=[@Date]),tblFX[Rate]),XLOOKUP("CURRENT_FX_USDTHB",tblSettings[Key],tblSettings[Value]))</f>
        <v/>
      </c>
      <c r="K185" s="128">
        <f>H185*J185</f>
        <v/>
      </c>
      <c r="L185" s="137" t="inlineStr">
        <is>
          <t>Investment</t>
        </is>
      </c>
      <c r="M185" s="136" t="inlineStr">
        <is>
          <t>US Stocks</t>
        </is>
      </c>
      <c r="N185" s="137" t="inlineStr">
        <is>
          <t>AMPX</t>
        </is>
      </c>
      <c r="O185" s="156" t="n">
        <v>0.08679741015295112</v>
      </c>
      <c r="P185" s="157" t="n">
        <v>21.314</v>
      </c>
      <c r="Q185" s="146" t="n">
        <v>0</v>
      </c>
      <c r="R185" s="146" t="inlineStr"/>
      <c r="S185" s="142" t="inlineStr"/>
      <c r="T185" s="142" t="inlineStr">
        <is>
          <t>พฤษภาคม 2569 — ซื้อวันที่ 5 พ.ค. 69 เวลา 21:24-21:31 น. (ย้อนหลังจาก Google Drive backup)</t>
        </is>
      </c>
      <c r="U185" s="142" t="inlineStr">
        <is>
          <t>USA STOCK HIS 2</t>
        </is>
      </c>
      <c r="V185" s="158" t="inlineStr">
        <is>
          <t>Confirmed</t>
        </is>
      </c>
      <c r="W185" s="146" t="n">
        <v>1.85</v>
      </c>
      <c r="X185" s="137" t="inlineStr">
        <is>
          <t>USD</t>
        </is>
      </c>
    </row>
    <row r="186">
      <c r="B186" s="153" t="inlineStr">
        <is>
          <t>TX-00181</t>
        </is>
      </c>
      <c r="C186" s="144" t="n">
        <v>46147</v>
      </c>
      <c r="D186" s="154" t="inlineStr"/>
      <c r="E186" s="137" t="inlineStr">
        <is>
          <t>Buy</t>
        </is>
      </c>
      <c r="F186" s="136" t="inlineStr">
        <is>
          <t>Dime FCD USD</t>
        </is>
      </c>
      <c r="G186" s="136" t="inlineStr">
        <is>
          <t>Dime US Stocks</t>
        </is>
      </c>
      <c r="H186" s="159" t="n">
        <v>2.06</v>
      </c>
      <c r="I186" s="137" t="inlineStr">
        <is>
          <t>USD</t>
        </is>
      </c>
      <c r="J186" s="155">
        <f>IFERROR(LOOKUP(2,1/(tblFX[Date]&lt;=[@Date]),tblFX[Rate]),XLOOKUP("CURRENT_FX_USDTHB",tblSettings[Key],tblSettings[Value]))</f>
        <v/>
      </c>
      <c r="K186" s="128">
        <f>H186*J186</f>
        <v/>
      </c>
      <c r="L186" s="137" t="inlineStr">
        <is>
          <t>Investment</t>
        </is>
      </c>
      <c r="M186" s="136" t="inlineStr">
        <is>
          <t>US Stocks</t>
        </is>
      </c>
      <c r="N186" s="137" t="inlineStr">
        <is>
          <t>AMZN</t>
        </is>
      </c>
      <c r="O186" s="156" t="n">
        <v>0.007471456136024025</v>
      </c>
      <c r="P186" s="157" t="n">
        <v>275.716</v>
      </c>
      <c r="Q186" s="146" t="n">
        <v>0</v>
      </c>
      <c r="R186" s="146" t="inlineStr"/>
      <c r="S186" s="142" t="inlineStr"/>
      <c r="T186" s="142" t="inlineStr">
        <is>
          <t>พฤษภาคม 2569 — ซื้อวันที่ 5 พ.ค. 69 เวลา 21:24-21:31 น. (ย้อนหลังจาก Google Drive backup)</t>
        </is>
      </c>
      <c r="U186" s="142" t="inlineStr">
        <is>
          <t>USA STOCK HIS 2</t>
        </is>
      </c>
      <c r="V186" s="158" t="inlineStr">
        <is>
          <t>Confirmed</t>
        </is>
      </c>
      <c r="W186" s="146" t="n">
        <v>2.06</v>
      </c>
      <c r="X186" s="137" t="inlineStr">
        <is>
          <t>USD</t>
        </is>
      </c>
    </row>
    <row r="187">
      <c r="B187" s="153" t="inlineStr">
        <is>
          <t>TX-00182</t>
        </is>
      </c>
      <c r="C187" s="144" t="n">
        <v>46147</v>
      </c>
      <c r="D187" s="154" t="inlineStr"/>
      <c r="E187" s="137" t="inlineStr">
        <is>
          <t>Buy</t>
        </is>
      </c>
      <c r="F187" s="136" t="inlineStr">
        <is>
          <t>Dime FCD USD</t>
        </is>
      </c>
      <c r="G187" s="136" t="inlineStr">
        <is>
          <t>Dime US Stocks</t>
        </is>
      </c>
      <c r="H187" s="159" t="n">
        <v>3.08</v>
      </c>
      <c r="I187" s="137" t="inlineStr">
        <is>
          <t>USD</t>
        </is>
      </c>
      <c r="J187" s="155">
        <f>IFERROR(LOOKUP(2,1/(tblFX[Date]&lt;=[@Date]),tblFX[Rate]),XLOOKUP("CURRENT_FX_USDTHB",tblSettings[Key],tblSettings[Value]))</f>
        <v/>
      </c>
      <c r="K187" s="128">
        <f>H187*J187</f>
        <v/>
      </c>
      <c r="L187" s="137" t="inlineStr">
        <is>
          <t>Investment</t>
        </is>
      </c>
      <c r="M187" s="136" t="inlineStr">
        <is>
          <t>US Stocks</t>
        </is>
      </c>
      <c r="N187" s="137" t="inlineStr">
        <is>
          <t>BEPC</t>
        </is>
      </c>
      <c r="O187" s="156" t="n">
        <v>0.08486251170992451</v>
      </c>
      <c r="P187" s="157" t="n">
        <v>36.294</v>
      </c>
      <c r="Q187" s="146" t="n">
        <v>0</v>
      </c>
      <c r="R187" s="146" t="inlineStr"/>
      <c r="S187" s="142" t="inlineStr"/>
      <c r="T187" s="142" t="inlineStr">
        <is>
          <t>พฤษภาคม 2569 — ซื้อวันที่ 5 พ.ค. 69 เวลา 21:24-21:31 น. (ย้อนหลังจาก Google Drive backup)</t>
        </is>
      </c>
      <c r="U187" s="142" t="inlineStr">
        <is>
          <t>USA STOCK HIS 2</t>
        </is>
      </c>
      <c r="V187" s="158" t="inlineStr">
        <is>
          <t>Confirmed</t>
        </is>
      </c>
      <c r="W187" s="146" t="n">
        <v>3.08</v>
      </c>
      <c r="X187" s="137" t="inlineStr">
        <is>
          <t>USD</t>
        </is>
      </c>
    </row>
    <row r="188">
      <c r="B188" s="153" t="inlineStr">
        <is>
          <t>TX-00183</t>
        </is>
      </c>
      <c r="C188" s="144" t="n">
        <v>46147</v>
      </c>
      <c r="D188" s="154" t="inlineStr"/>
      <c r="E188" s="137" t="inlineStr">
        <is>
          <t>Buy</t>
        </is>
      </c>
      <c r="F188" s="136" t="inlineStr">
        <is>
          <t>Dime FCD USD</t>
        </is>
      </c>
      <c r="G188" s="136" t="inlineStr">
        <is>
          <t>Dime US Stocks</t>
        </is>
      </c>
      <c r="H188" s="159" t="n">
        <v>2.46</v>
      </c>
      <c r="I188" s="137" t="inlineStr">
        <is>
          <t>USD</t>
        </is>
      </c>
      <c r="J188" s="155">
        <f>IFERROR(LOOKUP(2,1/(tblFX[Date]&lt;=[@Date]),tblFX[Rate]),XLOOKUP("CURRENT_FX_USDTHB",tblSettings[Key],tblSettings[Value]))</f>
        <v/>
      </c>
      <c r="K188" s="128">
        <f>H188*J188</f>
        <v/>
      </c>
      <c r="L188" s="137" t="inlineStr">
        <is>
          <t>Investment</t>
        </is>
      </c>
      <c r="M188" s="136" t="inlineStr">
        <is>
          <t>US Stocks</t>
        </is>
      </c>
      <c r="N188" s="137" t="inlineStr">
        <is>
          <t>GOOGL</t>
        </is>
      </c>
      <c r="O188" s="156" t="n">
        <v>0.006336809133248155</v>
      </c>
      <c r="P188" s="157" t="n">
        <v>388.208</v>
      </c>
      <c r="Q188" s="146" t="n">
        <v>0</v>
      </c>
      <c r="R188" s="146" t="inlineStr"/>
      <c r="S188" s="142" t="inlineStr"/>
      <c r="T188" s="142" t="inlineStr">
        <is>
          <t>พฤษภาคม 2569 — ซื้อวันที่ 5 พ.ค. 69 เวลา 21:24-21:31 น. (ย้อนหลังจาก Google Drive backup)</t>
        </is>
      </c>
      <c r="U188" s="142" t="inlineStr">
        <is>
          <t>USA STOCK HIS 2</t>
        </is>
      </c>
      <c r="V188" s="158" t="inlineStr">
        <is>
          <t>Confirmed</t>
        </is>
      </c>
      <c r="W188" s="146" t="n">
        <v>2.46</v>
      </c>
      <c r="X188" s="137" t="inlineStr">
        <is>
          <t>USD</t>
        </is>
      </c>
    </row>
    <row r="189">
      <c r="B189" s="153" t="inlineStr">
        <is>
          <t>TX-00184</t>
        </is>
      </c>
      <c r="C189" s="144" t="n">
        <v>46147</v>
      </c>
      <c r="D189" s="154" t="inlineStr"/>
      <c r="E189" s="137" t="inlineStr">
        <is>
          <t>Buy</t>
        </is>
      </c>
      <c r="F189" s="136" t="inlineStr">
        <is>
          <t>Dime FCD USD</t>
        </is>
      </c>
      <c r="G189" s="136" t="inlineStr">
        <is>
          <t>Dime US Stocks</t>
        </is>
      </c>
      <c r="H189" s="159" t="n">
        <v>2.46</v>
      </c>
      <c r="I189" s="137" t="inlineStr">
        <is>
          <t>USD</t>
        </is>
      </c>
      <c r="J189" s="155">
        <f>IFERROR(LOOKUP(2,1/(tblFX[Date]&lt;=[@Date]),tblFX[Rate]),XLOOKUP("CURRENT_FX_USDTHB",tblSettings[Key],tblSettings[Value]))</f>
        <v/>
      </c>
      <c r="K189" s="128">
        <f>H189*J189</f>
        <v/>
      </c>
      <c r="L189" s="137" t="inlineStr">
        <is>
          <t>Investment</t>
        </is>
      </c>
      <c r="M189" s="136" t="inlineStr">
        <is>
          <t>US Stocks</t>
        </is>
      </c>
      <c r="N189" s="137" t="inlineStr">
        <is>
          <t>LLY</t>
        </is>
      </c>
      <c r="O189" s="156" t="n">
        <v>0.002516387204477942</v>
      </c>
      <c r="P189" s="157" t="n">
        <v>977.592</v>
      </c>
      <c r="Q189" s="146" t="n">
        <v>0</v>
      </c>
      <c r="R189" s="146" t="inlineStr"/>
      <c r="S189" s="142" t="inlineStr"/>
      <c r="T189" s="142" t="inlineStr">
        <is>
          <t>พฤษภาคม 2569 — ซื้อวันที่ 5 พ.ค. 69 เวลา 21:24-21:31 น. (ย้อนหลังจาก Google Drive backup)</t>
        </is>
      </c>
      <c r="U189" s="142" t="inlineStr">
        <is>
          <t>USA STOCK HIS 2</t>
        </is>
      </c>
      <c r="V189" s="158" t="inlineStr">
        <is>
          <t>Confirmed</t>
        </is>
      </c>
      <c r="W189" s="146" t="n">
        <v>2.46</v>
      </c>
      <c r="X189" s="137" t="inlineStr">
        <is>
          <t>USD</t>
        </is>
      </c>
    </row>
    <row r="190">
      <c r="B190" s="153" t="inlineStr">
        <is>
          <t>TX-00185</t>
        </is>
      </c>
      <c r="C190" s="144" t="n">
        <v>46147</v>
      </c>
      <c r="D190" s="154" t="inlineStr"/>
      <c r="E190" s="137" t="inlineStr">
        <is>
          <t>Buy</t>
        </is>
      </c>
      <c r="F190" s="136" t="inlineStr">
        <is>
          <t>Dime FCD USD</t>
        </is>
      </c>
      <c r="G190" s="136" t="inlineStr">
        <is>
          <t>Dime US Stocks</t>
        </is>
      </c>
      <c r="H190" s="159" t="n">
        <v>6.16</v>
      </c>
      <c r="I190" s="137" t="inlineStr">
        <is>
          <t>USD</t>
        </is>
      </c>
      <c r="J190" s="155">
        <f>IFERROR(LOOKUP(2,1/(tblFX[Date]&lt;=[@Date]),tblFX[Rate]),XLOOKUP("CURRENT_FX_USDTHB",tblSettings[Key],tblSettings[Value]))</f>
        <v/>
      </c>
      <c r="K190" s="128">
        <f>H190*J190</f>
        <v/>
      </c>
      <c r="L190" s="137" t="inlineStr">
        <is>
          <t>Investment</t>
        </is>
      </c>
      <c r="M190" s="136" t="inlineStr">
        <is>
          <t>US Stocks</t>
        </is>
      </c>
      <c r="N190" s="137" t="inlineStr">
        <is>
          <t>META</t>
        </is>
      </c>
      <c r="O190" s="156" t="n">
        <v>0.01019111652284398</v>
      </c>
      <c r="P190" s="157" t="n">
        <v>604.448</v>
      </c>
      <c r="Q190" s="146" t="n">
        <v>0</v>
      </c>
      <c r="R190" s="146" t="inlineStr"/>
      <c r="S190" s="142" t="inlineStr"/>
      <c r="T190" s="142" t="inlineStr">
        <is>
          <t>พฤษภาคม 2569 — ซื้อวันที่ 5 พ.ค. 69 เวลา 21:24-21:31 น. (ย้อนหลังจาก Google Drive backup)</t>
        </is>
      </c>
      <c r="U190" s="142" t="inlineStr">
        <is>
          <t>USA STOCK HIS 2</t>
        </is>
      </c>
      <c r="V190" s="158" t="inlineStr">
        <is>
          <t>Confirmed</t>
        </is>
      </c>
      <c r="W190" s="146" t="n">
        <v>6.16</v>
      </c>
      <c r="X190" s="137" t="inlineStr">
        <is>
          <t>USD</t>
        </is>
      </c>
    </row>
    <row r="191">
      <c r="B191" s="153" t="inlineStr">
        <is>
          <t>TX-00186</t>
        </is>
      </c>
      <c r="C191" s="144" t="n">
        <v>46147</v>
      </c>
      <c r="D191" s="154" t="inlineStr"/>
      <c r="E191" s="137" t="inlineStr">
        <is>
          <t>Buy</t>
        </is>
      </c>
      <c r="F191" s="136" t="inlineStr">
        <is>
          <t>Dime FCD USD</t>
        </is>
      </c>
      <c r="G191" s="136" t="inlineStr">
        <is>
          <t>Dime US Stocks</t>
        </is>
      </c>
      <c r="H191" s="159" t="n">
        <v>6.15</v>
      </c>
      <c r="I191" s="137" t="inlineStr">
        <is>
          <t>USD</t>
        </is>
      </c>
      <c r="J191" s="155">
        <f>IFERROR(LOOKUP(2,1/(tblFX[Date]&lt;=[@Date]),tblFX[Rate]),XLOOKUP("CURRENT_FX_USDTHB",tblSettings[Key],tblSettings[Value]))</f>
        <v/>
      </c>
      <c r="K191" s="128">
        <f>H191*J191</f>
        <v/>
      </c>
      <c r="L191" s="137" t="inlineStr">
        <is>
          <t>Investment</t>
        </is>
      </c>
      <c r="M191" s="136" t="inlineStr">
        <is>
          <t>US Stocks</t>
        </is>
      </c>
      <c r="N191" s="137" t="inlineStr">
        <is>
          <t>MSFT</t>
        </is>
      </c>
      <c r="O191" s="156" t="n">
        <v>0.01495455274944924</v>
      </c>
      <c r="P191" s="157" t="n">
        <v>411.246</v>
      </c>
      <c r="Q191" s="146" t="n">
        <v>0</v>
      </c>
      <c r="R191" s="146" t="inlineStr"/>
      <c r="S191" s="142" t="inlineStr"/>
      <c r="T191" s="142" t="inlineStr">
        <is>
          <t>พฤษภาคม 2569 — ซื้อวันที่ 5 พ.ค. 69 เวลา 21:24-21:31 น. (ย้อนหลังจาก Google Drive backup)</t>
        </is>
      </c>
      <c r="U191" s="142" t="inlineStr">
        <is>
          <t>USA STOCK HIS 2</t>
        </is>
      </c>
      <c r="V191" s="158" t="inlineStr">
        <is>
          <t>Confirmed</t>
        </is>
      </c>
      <c r="W191" s="146" t="n">
        <v>6.15</v>
      </c>
      <c r="X191" s="137" t="inlineStr">
        <is>
          <t>USD</t>
        </is>
      </c>
    </row>
    <row r="192">
      <c r="B192" s="153" t="inlineStr">
        <is>
          <t>TX-00187</t>
        </is>
      </c>
      <c r="C192" s="144" t="n">
        <v>46147</v>
      </c>
      <c r="D192" s="154" t="inlineStr"/>
      <c r="E192" s="137" t="inlineStr">
        <is>
          <t>Buy</t>
        </is>
      </c>
      <c r="F192" s="136" t="inlineStr">
        <is>
          <t>Dime FCD USD</t>
        </is>
      </c>
      <c r="G192" s="136" t="inlineStr">
        <is>
          <t>Dime US Stocks</t>
        </is>
      </c>
      <c r="H192" s="159" t="n">
        <v>3.08</v>
      </c>
      <c r="I192" s="137" t="inlineStr">
        <is>
          <t>USD</t>
        </is>
      </c>
      <c r="J192" s="155">
        <f>IFERROR(LOOKUP(2,1/(tblFX[Date]&lt;=[@Date]),tblFX[Rate]),XLOOKUP("CURRENT_FX_USDTHB",tblSettings[Key],tblSettings[Value]))</f>
        <v/>
      </c>
      <c r="K192" s="128">
        <f>H192*J192</f>
        <v/>
      </c>
      <c r="L192" s="137" t="inlineStr">
        <is>
          <t>Investment</t>
        </is>
      </c>
      <c r="M192" s="136" t="inlineStr">
        <is>
          <t>US Stocks</t>
        </is>
      </c>
      <c r="N192" s="137" t="inlineStr">
        <is>
          <t>NVDA</t>
        </is>
      </c>
      <c r="O192" s="156" t="n">
        <v>0.01550574920960954</v>
      </c>
      <c r="P192" s="157" t="n">
        <v>198.636</v>
      </c>
      <c r="Q192" s="146" t="n">
        <v>0</v>
      </c>
      <c r="R192" s="146" t="inlineStr"/>
      <c r="S192" s="142" t="inlineStr"/>
      <c r="T192" s="142" t="inlineStr">
        <is>
          <t>พฤษภาคม 2569 — ซื้อวันที่ 5 พ.ค. 69 เวลา 21:24-21:31 น. (ย้อนหลังจาก Google Drive backup)</t>
        </is>
      </c>
      <c r="U192" s="142" t="inlineStr">
        <is>
          <t>USA STOCK HIS 2</t>
        </is>
      </c>
      <c r="V192" s="158" t="inlineStr">
        <is>
          <t>Confirmed</t>
        </is>
      </c>
      <c r="W192" s="146" t="n">
        <v>3.08</v>
      </c>
      <c r="X192" s="137" t="inlineStr">
        <is>
          <t>USD</t>
        </is>
      </c>
    </row>
    <row r="193">
      <c r="B193" s="153" t="inlineStr">
        <is>
          <t>TX-00188</t>
        </is>
      </c>
      <c r="C193" s="144" t="n">
        <v>46147</v>
      </c>
      <c r="D193" s="154" t="inlineStr"/>
      <c r="E193" s="137" t="inlineStr">
        <is>
          <t>Buy</t>
        </is>
      </c>
      <c r="F193" s="136" t="inlineStr">
        <is>
          <t>Dime FCD USD</t>
        </is>
      </c>
      <c r="G193" s="136" t="inlineStr">
        <is>
          <t>Dime US Stocks</t>
        </is>
      </c>
      <c r="H193" s="159" t="n">
        <v>4.62</v>
      </c>
      <c r="I193" s="137" t="inlineStr">
        <is>
          <t>USD</t>
        </is>
      </c>
      <c r="J193" s="155">
        <f>IFERROR(LOOKUP(2,1/(tblFX[Date]&lt;=[@Date]),tblFX[Rate]),XLOOKUP("CURRENT_FX_USDTHB",tblSettings[Key],tblSettings[Value]))</f>
        <v/>
      </c>
      <c r="K193" s="128">
        <f>H193*J193</f>
        <v/>
      </c>
      <c r="L193" s="137" t="inlineStr">
        <is>
          <t>Investment</t>
        </is>
      </c>
      <c r="M193" s="136" t="inlineStr">
        <is>
          <t>US Stocks</t>
        </is>
      </c>
      <c r="N193" s="137" t="inlineStr">
        <is>
          <t>PRCT</t>
        </is>
      </c>
      <c r="O193" s="156" t="n">
        <v>0.1837124224590425</v>
      </c>
      <c r="P193" s="157" t="n">
        <v>25.148</v>
      </c>
      <c r="Q193" s="146" t="n">
        <v>0</v>
      </c>
      <c r="R193" s="146" t="inlineStr"/>
      <c r="S193" s="142" t="inlineStr"/>
      <c r="T193" s="142" t="inlineStr">
        <is>
          <t>พฤษภาคม 2569 — ซื้อวันที่ 5 พ.ค. 69 เวลา 21:24-21:31 น. (ย้อนหลังจาก Google Drive backup)</t>
        </is>
      </c>
      <c r="U193" s="142" t="inlineStr">
        <is>
          <t>USA STOCK HIS 2</t>
        </is>
      </c>
      <c r="V193" s="158" t="inlineStr">
        <is>
          <t>Confirmed</t>
        </is>
      </c>
      <c r="W193" s="146" t="n">
        <v>4.62</v>
      </c>
      <c r="X193" s="137" t="inlineStr">
        <is>
          <t>USD</t>
        </is>
      </c>
    </row>
    <row r="194">
      <c r="B194" s="153" t="inlineStr">
        <is>
          <t>TX-00189</t>
        </is>
      </c>
      <c r="C194" s="144" t="n">
        <v>46147</v>
      </c>
      <c r="D194" s="154" t="inlineStr"/>
      <c r="E194" s="137" t="inlineStr">
        <is>
          <t>Buy</t>
        </is>
      </c>
      <c r="F194" s="136" t="inlineStr">
        <is>
          <t>Dime FCD USD</t>
        </is>
      </c>
      <c r="G194" s="136" t="inlineStr">
        <is>
          <t>Dime US Stocks</t>
        </is>
      </c>
      <c r="H194" s="159" t="n">
        <v>3.08</v>
      </c>
      <c r="I194" s="137" t="inlineStr">
        <is>
          <t>USD</t>
        </is>
      </c>
      <c r="J194" s="155">
        <f>IFERROR(LOOKUP(2,1/(tblFX[Date]&lt;=[@Date]),tblFX[Rate]),XLOOKUP("CURRENT_FX_USDTHB",tblSettings[Key],tblSettings[Value]))</f>
        <v/>
      </c>
      <c r="K194" s="128">
        <f>H194*J194</f>
        <v/>
      </c>
      <c r="L194" s="137" t="inlineStr">
        <is>
          <t>Investment</t>
        </is>
      </c>
      <c r="M194" s="136" t="inlineStr">
        <is>
          <t>US Stocks</t>
        </is>
      </c>
      <c r="N194" s="137" t="inlineStr">
        <is>
          <t>SCHD</t>
        </is>
      </c>
      <c r="O194" s="156" t="n">
        <v>0.09765996575559642</v>
      </c>
      <c r="P194" s="157" t="n">
        <v>31.538</v>
      </c>
      <c r="Q194" s="146" t="n">
        <v>0</v>
      </c>
      <c r="R194" s="146" t="inlineStr"/>
      <c r="S194" s="142" t="inlineStr"/>
      <c r="T194" s="142" t="inlineStr">
        <is>
          <t>พฤษภาคม 2569 — ซื้อวันที่ 5 พ.ค. 69 เวลา 21:24-21:31 น. (ย้อนหลังจาก Google Drive backup)</t>
        </is>
      </c>
      <c r="U194" s="142" t="inlineStr">
        <is>
          <t>USA STOCK HIS 2</t>
        </is>
      </c>
      <c r="V194" s="158" t="inlineStr">
        <is>
          <t>Confirmed</t>
        </is>
      </c>
      <c r="W194" s="146" t="n">
        <v>3.08</v>
      </c>
      <c r="X194" s="137" t="inlineStr">
        <is>
          <t>USD</t>
        </is>
      </c>
    </row>
    <row r="195">
      <c r="B195" s="153" t="inlineStr">
        <is>
          <t>TX-00190</t>
        </is>
      </c>
      <c r="C195" s="144" t="n">
        <v>46147</v>
      </c>
      <c r="D195" s="154" t="inlineStr"/>
      <c r="E195" s="137" t="inlineStr">
        <is>
          <t>Buy</t>
        </is>
      </c>
      <c r="F195" s="136" t="inlineStr">
        <is>
          <t>Dime FCD USD</t>
        </is>
      </c>
      <c r="G195" s="136" t="inlineStr">
        <is>
          <t>Dime US Stocks</t>
        </is>
      </c>
      <c r="H195" s="159" t="n">
        <v>3.69</v>
      </c>
      <c r="I195" s="137" t="inlineStr">
        <is>
          <t>USD</t>
        </is>
      </c>
      <c r="J195" s="155">
        <f>IFERROR(LOOKUP(2,1/(tblFX[Date]&lt;=[@Date]),tblFX[Rate]),XLOOKUP("CURRENT_FX_USDTHB",tblSettings[Key],tblSettings[Value]))</f>
        <v/>
      </c>
      <c r="K195" s="128">
        <f>H195*J195</f>
        <v/>
      </c>
      <c r="L195" s="137" t="inlineStr">
        <is>
          <t>Investment</t>
        </is>
      </c>
      <c r="M195" s="136" t="inlineStr">
        <is>
          <t>US Stocks</t>
        </is>
      </c>
      <c r="N195" s="137" t="inlineStr">
        <is>
          <t>SCHG</t>
        </is>
      </c>
      <c r="O195" s="156" t="n">
        <v>0.1110175100788254</v>
      </c>
      <c r="P195" s="157" t="n">
        <v>33.238</v>
      </c>
      <c r="Q195" s="146" t="n">
        <v>0</v>
      </c>
      <c r="R195" s="146" t="inlineStr"/>
      <c r="S195" s="142" t="inlineStr"/>
      <c r="T195" s="142" t="inlineStr">
        <is>
          <t>พฤษภาคม 2569 — ซื้อวันที่ 5 พ.ค. 69 เวลา 21:24-21:31 น. (ย้อนหลังจาก Google Drive backup)</t>
        </is>
      </c>
      <c r="U195" s="142" t="inlineStr">
        <is>
          <t>USA STOCK HIS 2</t>
        </is>
      </c>
      <c r="V195" s="158" t="inlineStr">
        <is>
          <t>Confirmed</t>
        </is>
      </c>
      <c r="W195" s="146" t="n">
        <v>3.69</v>
      </c>
      <c r="X195" s="137" t="inlineStr">
        <is>
          <t>USD</t>
        </is>
      </c>
    </row>
    <row r="196">
      <c r="B196" s="153" t="inlineStr">
        <is>
          <t>TX-00191</t>
        </is>
      </c>
      <c r="C196" s="144" t="n">
        <v>46147</v>
      </c>
      <c r="D196" s="154" t="inlineStr"/>
      <c r="E196" s="137" t="inlineStr">
        <is>
          <t>Buy</t>
        </is>
      </c>
      <c r="F196" s="136" t="inlineStr">
        <is>
          <t>Dime FCD USD</t>
        </is>
      </c>
      <c r="G196" s="136" t="inlineStr">
        <is>
          <t>Dime US Stocks</t>
        </is>
      </c>
      <c r="H196" s="159" t="n">
        <v>4.62</v>
      </c>
      <c r="I196" s="137" t="inlineStr">
        <is>
          <t>USD</t>
        </is>
      </c>
      <c r="J196" s="155">
        <f>IFERROR(LOOKUP(2,1/(tblFX[Date]&lt;=[@Date]),tblFX[Rate]),XLOOKUP("CURRENT_FX_USDTHB",tblSettings[Key],tblSettings[Value]))</f>
        <v/>
      </c>
      <c r="K196" s="128">
        <f>H196*J196</f>
        <v/>
      </c>
      <c r="L196" s="137" t="inlineStr">
        <is>
          <t>Investment</t>
        </is>
      </c>
      <c r="M196" s="136" t="inlineStr">
        <is>
          <t>US Stocks</t>
        </is>
      </c>
      <c r="N196" s="137" t="inlineStr">
        <is>
          <t>V</t>
        </is>
      </c>
      <c r="O196" s="156" t="n">
        <v>0.01435103501404041</v>
      </c>
      <c r="P196" s="157" t="n">
        <v>321.928</v>
      </c>
      <c r="Q196" s="146" t="n">
        <v>0</v>
      </c>
      <c r="R196" s="146" t="inlineStr"/>
      <c r="S196" s="142" t="inlineStr"/>
      <c r="T196" s="142" t="inlineStr">
        <is>
          <t>พฤษภาคม 2569 — ซื้อวันที่ 5 พ.ค. 69 เวลา 21:24-21:31 น. (ย้อนหลังจาก Google Drive backup)</t>
        </is>
      </c>
      <c r="U196" s="142" t="inlineStr">
        <is>
          <t>USA STOCK HIS 2</t>
        </is>
      </c>
      <c r="V196" s="158" t="inlineStr">
        <is>
          <t>Confirmed</t>
        </is>
      </c>
      <c r="W196" s="146" t="n">
        <v>4.62</v>
      </c>
      <c r="X196" s="137" t="inlineStr">
        <is>
          <t>USD</t>
        </is>
      </c>
    </row>
    <row r="197">
      <c r="B197" s="153" t="inlineStr">
        <is>
          <t>TX-00192</t>
        </is>
      </c>
      <c r="C197" s="144" t="n">
        <v>46148</v>
      </c>
      <c r="D197" s="154" t="inlineStr">
        <is>
          <t>10:37:26</t>
        </is>
      </c>
      <c r="E197" s="137" t="inlineStr">
        <is>
          <t>Transfer</t>
        </is>
      </c>
      <c r="F197" s="136" t="inlineStr">
        <is>
          <t>Dime Save THB</t>
        </is>
      </c>
      <c r="G197" s="136" t="inlineStr">
        <is>
          <t>N/A</t>
        </is>
      </c>
      <c r="H197" s="130" t="n">
        <v>2654.46</v>
      </c>
      <c r="I197" s="137" t="inlineStr">
        <is>
          <t>THB</t>
        </is>
      </c>
      <c r="J197" s="155" t="n">
        <v>1</v>
      </c>
      <c r="K197" s="128">
        <f>H197*J197</f>
        <v/>
      </c>
      <c r="L197" s="137" t="inlineStr">
        <is>
          <t>Transfer</t>
        </is>
      </c>
      <c r="M197" s="136" t="inlineStr">
        <is>
          <t>Withdrawal</t>
        </is>
      </c>
      <c r="N197" s="137" t="inlineStr"/>
      <c r="O197" s="156" t="inlineStr"/>
      <c r="P197" s="157" t="inlineStr"/>
      <c r="Q197" s="146" t="n">
        <v>0</v>
      </c>
      <c r="R197" s="146" t="inlineStr"/>
      <c r="S197" s="142" t="inlineStr"/>
      <c r="T197" s="142" t="inlineStr">
        <is>
          <t>ปลายทางยังไม่ระบุ — ต้องยืนยัน</t>
        </is>
      </c>
      <c r="U197" s="142" t="inlineStr">
        <is>
          <t>ประวัติโยกเงิน</t>
        </is>
      </c>
      <c r="V197" s="160" t="inlineStr">
        <is>
          <t>Pending</t>
        </is>
      </c>
      <c r="W197" s="128" t="n">
        <v>2654.46</v>
      </c>
      <c r="X197" s="137" t="inlineStr">
        <is>
          <t>THB</t>
        </is>
      </c>
    </row>
    <row r="198">
      <c r="B198" s="153" t="inlineStr">
        <is>
          <t>TX-00193</t>
        </is>
      </c>
      <c r="C198" s="144" t="n">
        <v>46149</v>
      </c>
      <c r="D198" s="154" t="inlineStr">
        <is>
          <t>06:10:10</t>
        </is>
      </c>
      <c r="E198" s="137" t="inlineStr">
        <is>
          <t>Transfer</t>
        </is>
      </c>
      <c r="F198" s="136" t="inlineStr">
        <is>
          <t>N/A</t>
        </is>
      </c>
      <c r="G198" s="136" t="inlineStr">
        <is>
          <t>Dime Save THB</t>
        </is>
      </c>
      <c r="H198" s="130" t="n">
        <v>317.38</v>
      </c>
      <c r="I198" s="137" t="inlineStr">
        <is>
          <t>THB</t>
        </is>
      </c>
      <c r="J198" s="155" t="n">
        <v>1</v>
      </c>
      <c r="K198" s="128">
        <f>H198*J198</f>
        <v/>
      </c>
      <c r="L198" s="137" t="inlineStr">
        <is>
          <t>Transfer</t>
        </is>
      </c>
      <c r="M198" s="136" t="inlineStr">
        <is>
          <t>Incoming Funding</t>
        </is>
      </c>
      <c r="N198" s="137" t="inlineStr"/>
      <c r="O198" s="156" t="inlineStr"/>
      <c r="P198" s="157" t="inlineStr"/>
      <c r="Q198" s="146" t="n">
        <v>0</v>
      </c>
      <c r="R198" s="146" t="inlineStr"/>
      <c r="S198" s="142" t="inlineStr"/>
      <c r="T198" s="142" t="inlineStr">
        <is>
          <t>ต้นทางยังไม่ระบุในหลักฐาน — ต้องยืนยันว่าเป็นบัญชีตัวเอง (Transfer) หรือรายได้ (Income)</t>
        </is>
      </c>
      <c r="U198" s="142" t="inlineStr">
        <is>
          <t>ประวัติโยกเงิน</t>
        </is>
      </c>
      <c r="V198" s="160" t="inlineStr">
        <is>
          <t>Pending</t>
        </is>
      </c>
      <c r="W198" s="128" t="n">
        <v>317.38</v>
      </c>
      <c r="X198" s="137" t="inlineStr">
        <is>
          <t>THB</t>
        </is>
      </c>
    </row>
    <row r="199">
      <c r="B199" s="153" t="inlineStr">
        <is>
          <t>TX-00194</t>
        </is>
      </c>
      <c r="C199" s="144" t="n">
        <v>46170</v>
      </c>
      <c r="D199" s="154" t="inlineStr">
        <is>
          <t>08:22:31</t>
        </is>
      </c>
      <c r="E199" s="137" t="inlineStr">
        <is>
          <t>Buy</t>
        </is>
      </c>
      <c r="F199" s="136" t="inlineStr">
        <is>
          <t>Dime FCD USD</t>
        </is>
      </c>
      <c r="G199" s="136" t="inlineStr">
        <is>
          <t>Dime Gold</t>
        </is>
      </c>
      <c r="H199" s="159" t="n">
        <v>99.7</v>
      </c>
      <c r="I199" s="137" t="inlineStr">
        <is>
          <t>USD</t>
        </is>
      </c>
      <c r="J199" s="155">
        <f>IFERROR(LOOKUP(2,1/(tblFX[Date]&lt;=[@Date]),tblFX[Rate]),XLOOKUP("CURRENT_FX_USDTHB",tblSettings[Key],tblSettings[Value]))</f>
        <v/>
      </c>
      <c r="K199" s="128">
        <f>H199*J199</f>
        <v/>
      </c>
      <c r="L199" s="137" t="inlineStr">
        <is>
          <t>Investment</t>
        </is>
      </c>
      <c r="M199" s="136" t="inlineStr">
        <is>
          <t>Gold</t>
        </is>
      </c>
      <c r="N199" s="137" t="inlineStr">
        <is>
          <t>MTS-GOLD</t>
        </is>
      </c>
      <c r="O199" s="156" t="n">
        <v>0.0225</v>
      </c>
      <c r="P199" s="157" t="n">
        <v>4431.33</v>
      </c>
      <c r="Q199" s="146" t="n">
        <v>0</v>
      </c>
      <c r="R199" s="146" t="inlineStr"/>
      <c r="S199" s="142" t="inlineStr"/>
      <c r="T199" s="142" t="inlineStr"/>
      <c r="U199" s="142" t="inlineStr">
        <is>
          <t>Dime app IMG_7097-7102</t>
        </is>
      </c>
      <c r="V199" s="158" t="inlineStr">
        <is>
          <t>Confirmed</t>
        </is>
      </c>
      <c r="W199" s="146" t="n">
        <v>99.7</v>
      </c>
      <c r="X199" s="137" t="inlineStr">
        <is>
          <t>USD</t>
        </is>
      </c>
    </row>
    <row r="200">
      <c r="B200" s="153" t="inlineStr">
        <is>
          <t>TX-00195</t>
        </is>
      </c>
      <c r="C200" s="144" t="n">
        <v>46173</v>
      </c>
      <c r="D200" s="154" t="inlineStr">
        <is>
          <t>07:12:03</t>
        </is>
      </c>
      <c r="E200" s="137" t="inlineStr">
        <is>
          <t>Transfer</t>
        </is>
      </c>
      <c r="F200" s="136" t="inlineStr">
        <is>
          <t>N/A</t>
        </is>
      </c>
      <c r="G200" s="136" t="inlineStr">
        <is>
          <t>Dime Save THB</t>
        </is>
      </c>
      <c r="H200" s="130" t="n">
        <v>4000</v>
      </c>
      <c r="I200" s="137" t="inlineStr">
        <is>
          <t>THB</t>
        </is>
      </c>
      <c r="J200" s="155" t="n">
        <v>1</v>
      </c>
      <c r="K200" s="128">
        <f>H200*J200</f>
        <v/>
      </c>
      <c r="L200" s="137" t="inlineStr">
        <is>
          <t>Transfer</t>
        </is>
      </c>
      <c r="M200" s="136" t="inlineStr">
        <is>
          <t>Incoming Funding</t>
        </is>
      </c>
      <c r="N200" s="137" t="inlineStr"/>
      <c r="O200" s="156" t="inlineStr"/>
      <c r="P200" s="157" t="inlineStr"/>
      <c r="Q200" s="146" t="n">
        <v>0</v>
      </c>
      <c r="R200" s="146" t="inlineStr"/>
      <c r="S200" s="142" t="inlineStr"/>
      <c r="T200" s="142" t="inlineStr">
        <is>
          <t>ต้นทางยังไม่ระบุในหลักฐาน — ต้องยืนยันว่าเป็นบัญชีตัวเอง (Transfer) หรือรายได้ (Income)</t>
        </is>
      </c>
      <c r="U200" s="142" t="inlineStr">
        <is>
          <t>ประวัติโยกเงิน</t>
        </is>
      </c>
      <c r="V200" s="160" t="inlineStr">
        <is>
          <t>Pending</t>
        </is>
      </c>
      <c r="W200" s="128" t="n">
        <v>4000</v>
      </c>
      <c r="X200" s="137" t="inlineStr">
        <is>
          <t>THB</t>
        </is>
      </c>
    </row>
    <row r="201">
      <c r="B201" s="153" t="inlineStr">
        <is>
          <t>TX-00196</t>
        </is>
      </c>
      <c r="C201" s="144" t="n">
        <v>46174</v>
      </c>
      <c r="D201" s="154" t="inlineStr"/>
      <c r="E201" s="137" t="inlineStr">
        <is>
          <t>PVD Contribution</t>
        </is>
      </c>
      <c r="F201" s="136" t="inlineStr">
        <is>
          <t>N/A</t>
        </is>
      </c>
      <c r="G201" s="136" t="inlineStr">
        <is>
          <t>PVD</t>
        </is>
      </c>
      <c r="H201" s="130" t="n">
        <v>5683.5</v>
      </c>
      <c r="I201" s="137" t="inlineStr">
        <is>
          <t>THB</t>
        </is>
      </c>
      <c r="J201" s="155" t="n">
        <v>1</v>
      </c>
      <c r="K201" s="128">
        <f>H201*J201</f>
        <v/>
      </c>
      <c r="L201" s="137" t="inlineStr">
        <is>
          <t>Investment</t>
        </is>
      </c>
      <c r="M201" s="136" t="inlineStr">
        <is>
          <t>PVD</t>
        </is>
      </c>
      <c r="N201" s="137" t="inlineStr">
        <is>
          <t>PVD</t>
        </is>
      </c>
      <c r="O201" s="156" t="inlineStr"/>
      <c r="P201" s="157" t="inlineStr"/>
      <c r="Q201" s="146" t="n">
        <v>0</v>
      </c>
      <c r="R201" s="146" t="inlineStr"/>
      <c r="S201" s="142" t="inlineStr">
        <is>
          <t>PVD Deduction (ลดหย่อนภาษี)</t>
        </is>
      </c>
      <c r="T201" s="142" t="inlineStr">
        <is>
          <t>เงินสะสมพนักงาน (หักจากเงินเดือนก่อนเข้าบัญชี) — มิถุนายน 2569</t>
        </is>
      </c>
      <c r="U201" s="142" t="inlineStr">
        <is>
          <t>PVD HIS (delta)</t>
        </is>
      </c>
      <c r="V201" s="158" t="inlineStr">
        <is>
          <t>Confirmed</t>
        </is>
      </c>
      <c r="W201" s="128" t="n">
        <v>5683.5</v>
      </c>
      <c r="X201" s="137" t="inlineStr">
        <is>
          <t>THB</t>
        </is>
      </c>
    </row>
    <row r="202">
      <c r="B202" s="153" t="inlineStr">
        <is>
          <t>TX-00197</t>
        </is>
      </c>
      <c r="C202" s="144" t="n">
        <v>46174</v>
      </c>
      <c r="D202" s="154" t="inlineStr"/>
      <c r="E202" s="137" t="inlineStr">
        <is>
          <t>PVD Employer</t>
        </is>
      </c>
      <c r="F202" s="136" t="inlineStr">
        <is>
          <t>N/A</t>
        </is>
      </c>
      <c r="G202" s="136" t="inlineStr">
        <is>
          <t>PVD</t>
        </is>
      </c>
      <c r="H202" s="130" t="n">
        <v>4546.8</v>
      </c>
      <c r="I202" s="137" t="inlineStr">
        <is>
          <t>THB</t>
        </is>
      </c>
      <c r="J202" s="155" t="n">
        <v>1</v>
      </c>
      <c r="K202" s="128">
        <f>H202*J202</f>
        <v/>
      </c>
      <c r="L202" s="137" t="inlineStr">
        <is>
          <t>Investment</t>
        </is>
      </c>
      <c r="M202" s="136" t="inlineStr">
        <is>
          <t>PVD</t>
        </is>
      </c>
      <c r="N202" s="137" t="inlineStr">
        <is>
          <t>PVD</t>
        </is>
      </c>
      <c r="O202" s="156" t="inlineStr"/>
      <c r="P202" s="157" t="inlineStr"/>
      <c r="Q202" s="146" t="n">
        <v>0</v>
      </c>
      <c r="R202" s="146" t="inlineStr"/>
      <c r="S202" s="142" t="inlineStr">
        <is>
          <t>Employer Contribution (ไม่เป็นเงินได้)</t>
        </is>
      </c>
      <c r="T202" s="142" t="inlineStr">
        <is>
          <t>เงินสมทบนายจ้าง — มิถุนายน 2569</t>
        </is>
      </c>
      <c r="U202" s="142" t="inlineStr">
        <is>
          <t>PVD HIS (delta)</t>
        </is>
      </c>
      <c r="V202" s="158" t="inlineStr">
        <is>
          <t>Confirmed</t>
        </is>
      </c>
      <c r="W202" s="128" t="n">
        <v>4546.8</v>
      </c>
      <c r="X202" s="137" t="inlineStr">
        <is>
          <t>THB</t>
        </is>
      </c>
    </row>
    <row r="203">
      <c r="B203" s="153" t="inlineStr">
        <is>
          <t>TX-00198</t>
        </is>
      </c>
      <c r="C203" s="144" t="n">
        <v>46181</v>
      </c>
      <c r="D203" s="154" t="inlineStr">
        <is>
          <t>13:04:23</t>
        </is>
      </c>
      <c r="E203" s="137" t="inlineStr">
        <is>
          <t>Buy</t>
        </is>
      </c>
      <c r="F203" s="136" t="inlineStr">
        <is>
          <t>Dime FCD USD</t>
        </is>
      </c>
      <c r="G203" s="136" t="inlineStr">
        <is>
          <t>Dime Gold</t>
        </is>
      </c>
      <c r="H203" s="159" t="n">
        <v>49.93</v>
      </c>
      <c r="I203" s="137" t="inlineStr">
        <is>
          <t>USD</t>
        </is>
      </c>
      <c r="J203" s="155">
        <f>IFERROR(LOOKUP(2,1/(tblFX[Date]&lt;=[@Date]),tblFX[Rate]),XLOOKUP("CURRENT_FX_USDTHB",tblSettings[Key],tblSettings[Value]))</f>
        <v/>
      </c>
      <c r="K203" s="128">
        <f>H203*J203</f>
        <v/>
      </c>
      <c r="L203" s="137" t="inlineStr">
        <is>
          <t>Investment</t>
        </is>
      </c>
      <c r="M203" s="136" t="inlineStr">
        <is>
          <t>Gold</t>
        </is>
      </c>
      <c r="N203" s="137" t="inlineStr">
        <is>
          <t>MTS-GOLD</t>
        </is>
      </c>
      <c r="O203" s="156" t="n">
        <v>0.0116</v>
      </c>
      <c r="P203" s="157" t="n">
        <v>4303.98</v>
      </c>
      <c r="Q203" s="146" t="n">
        <v>0</v>
      </c>
      <c r="R203" s="146" t="inlineStr"/>
      <c r="S203" s="142" t="inlineStr"/>
      <c r="T203" s="142" t="inlineStr"/>
      <c r="U203" s="142" t="inlineStr">
        <is>
          <t>Dime app IMG_7097-7102</t>
        </is>
      </c>
      <c r="V203" s="158" t="inlineStr">
        <is>
          <t>Confirmed</t>
        </is>
      </c>
      <c r="W203" s="146" t="n">
        <v>49.93</v>
      </c>
      <c r="X203" s="137" t="inlineStr">
        <is>
          <t>USD</t>
        </is>
      </c>
    </row>
    <row r="204">
      <c r="B204" s="153" t="inlineStr">
        <is>
          <t>TX-00199</t>
        </is>
      </c>
      <c r="C204" s="144" t="n">
        <v>46183</v>
      </c>
      <c r="D204" s="154" t="inlineStr">
        <is>
          <t>23:26:55</t>
        </is>
      </c>
      <c r="E204" s="137" t="inlineStr">
        <is>
          <t>Buy</t>
        </is>
      </c>
      <c r="F204" s="136" t="inlineStr">
        <is>
          <t>Dime FCD USD</t>
        </is>
      </c>
      <c r="G204" s="136" t="inlineStr">
        <is>
          <t>Dime Gold</t>
        </is>
      </c>
      <c r="H204" s="159" t="n">
        <v>29.75</v>
      </c>
      <c r="I204" s="137" t="inlineStr">
        <is>
          <t>USD</t>
        </is>
      </c>
      <c r="J204" s="155">
        <f>IFERROR(LOOKUP(2,1/(tblFX[Date]&lt;=[@Date]),tblFX[Rate]),XLOOKUP("CURRENT_FX_USDTHB",tblSettings[Key],tblSettings[Value]))</f>
        <v/>
      </c>
      <c r="K204" s="128">
        <f>H204*J204</f>
        <v/>
      </c>
      <c r="L204" s="137" t="inlineStr">
        <is>
          <t>Investment</t>
        </is>
      </c>
      <c r="M204" s="136" t="inlineStr">
        <is>
          <t>Gold</t>
        </is>
      </c>
      <c r="N204" s="137" t="inlineStr">
        <is>
          <t>MTS-GOLD</t>
        </is>
      </c>
      <c r="O204" s="156" t="n">
        <v>0.0072</v>
      </c>
      <c r="P204" s="157" t="n">
        <v>4131.96</v>
      </c>
      <c r="Q204" s="146" t="n">
        <v>0</v>
      </c>
      <c r="R204" s="146" t="inlineStr"/>
      <c r="S204" s="142" t="inlineStr"/>
      <c r="T204" s="142" t="inlineStr"/>
      <c r="U204" s="142" t="inlineStr">
        <is>
          <t>Dime app IMG_7097-7102</t>
        </is>
      </c>
      <c r="V204" s="158" t="inlineStr">
        <is>
          <t>Confirmed</t>
        </is>
      </c>
      <c r="W204" s="146" t="n">
        <v>29.75</v>
      </c>
      <c r="X204" s="137" t="inlineStr">
        <is>
          <t>USD</t>
        </is>
      </c>
    </row>
    <row r="205">
      <c r="B205" s="153" t="inlineStr">
        <is>
          <t>TX-00200</t>
        </is>
      </c>
      <c r="C205" s="144" t="n">
        <v>46191</v>
      </c>
      <c r="D205" s="154" t="inlineStr"/>
      <c r="E205" s="137" t="inlineStr">
        <is>
          <t>Buy</t>
        </is>
      </c>
      <c r="F205" s="136" t="inlineStr">
        <is>
          <t>Dime FCD USD</t>
        </is>
      </c>
      <c r="G205" s="136" t="inlineStr">
        <is>
          <t>Dime US Stocks</t>
        </is>
      </c>
      <c r="H205" s="159" t="n">
        <v>8.25</v>
      </c>
      <c r="I205" s="137" t="inlineStr">
        <is>
          <t>USD</t>
        </is>
      </c>
      <c r="J205" s="155">
        <f>IFERROR(LOOKUP(2,1/(tblFX[Date]&lt;=[@Date]),tblFX[Rate]),XLOOKUP("CURRENT_FX_USDTHB",tblSettings[Key],tblSettings[Value]))</f>
        <v/>
      </c>
      <c r="K205" s="128">
        <f>H205*J205</f>
        <v/>
      </c>
      <c r="L205" s="137" t="inlineStr">
        <is>
          <t>Investment</t>
        </is>
      </c>
      <c r="M205" s="136" t="inlineStr">
        <is>
          <t>US Stocks</t>
        </is>
      </c>
      <c r="N205" s="137" t="inlineStr">
        <is>
          <t>AAPL</t>
        </is>
      </c>
      <c r="O205" s="156" t="n">
        <v>0.02773855154327214</v>
      </c>
      <c r="P205" s="157" t="n">
        <v>297.42</v>
      </c>
      <c r="Q205" s="146" t="n">
        <v>0</v>
      </c>
      <c r="R205" s="146" t="inlineStr"/>
      <c r="S205" s="142" t="inlineStr"/>
      <c r="T205" s="142" t="inlineStr">
        <is>
          <t>มิถุนายน 2569 — ซื้อวันที่ 18 มิ.ย. 69 เวลา 23:01-23:06 น.</t>
        </is>
      </c>
      <c r="U205" s="142" t="inlineStr">
        <is>
          <t>USA STOCK HIS 2</t>
        </is>
      </c>
      <c r="V205" s="158" t="inlineStr">
        <is>
          <t>Confirmed</t>
        </is>
      </c>
      <c r="W205" s="146" t="n">
        <v>8.25</v>
      </c>
      <c r="X205" s="137" t="inlineStr">
        <is>
          <t>USD</t>
        </is>
      </c>
    </row>
    <row r="206">
      <c r="B206" s="153" t="inlineStr">
        <is>
          <t>TX-00201</t>
        </is>
      </c>
      <c r="C206" s="144" t="n">
        <v>46191</v>
      </c>
      <c r="D206" s="154" t="inlineStr"/>
      <c r="E206" s="137" t="inlineStr">
        <is>
          <t>Buy</t>
        </is>
      </c>
      <c r="F206" s="136" t="inlineStr">
        <is>
          <t>Dime FCD USD</t>
        </is>
      </c>
      <c r="G206" s="136" t="inlineStr">
        <is>
          <t>Dime US Stocks</t>
        </is>
      </c>
      <c r="H206" s="159" t="n">
        <v>8.25</v>
      </c>
      <c r="I206" s="137" t="inlineStr">
        <is>
          <t>USD</t>
        </is>
      </c>
      <c r="J206" s="155">
        <f>IFERROR(LOOKUP(2,1/(tblFX[Date]&lt;=[@Date]),tblFX[Rate]),XLOOKUP("CURRENT_FX_USDTHB",tblSettings[Key],tblSettings[Value]))</f>
        <v/>
      </c>
      <c r="K206" s="128">
        <f>H206*J206</f>
        <v/>
      </c>
      <c r="L206" s="137" t="inlineStr">
        <is>
          <t>Investment</t>
        </is>
      </c>
      <c r="M206" s="136" t="inlineStr">
        <is>
          <t>US Stocks</t>
        </is>
      </c>
      <c r="N206" s="137" t="inlineStr">
        <is>
          <t>AMPX</t>
        </is>
      </c>
      <c r="O206" s="156" t="n">
        <v>0.5282366500192086</v>
      </c>
      <c r="P206" s="157" t="n">
        <v>15.618</v>
      </c>
      <c r="Q206" s="146" t="n">
        <v>0</v>
      </c>
      <c r="R206" s="146" t="inlineStr"/>
      <c r="S206" s="142" t="inlineStr"/>
      <c r="T206" s="142" t="inlineStr">
        <is>
          <t>มิถุนายน 2569 — ซื้อวันที่ 18 มิ.ย. 69 เวลา 23:01-23:06 น.</t>
        </is>
      </c>
      <c r="U206" s="142" t="inlineStr">
        <is>
          <t>USA STOCK HIS 2</t>
        </is>
      </c>
      <c r="V206" s="158" t="inlineStr">
        <is>
          <t>Confirmed</t>
        </is>
      </c>
      <c r="W206" s="146" t="n">
        <v>8.25</v>
      </c>
      <c r="X206" s="137" t="inlineStr">
        <is>
          <t>USD</t>
        </is>
      </c>
    </row>
    <row r="207">
      <c r="B207" s="153" t="inlineStr">
        <is>
          <t>TX-00202</t>
        </is>
      </c>
      <c r="C207" s="144" t="n">
        <v>46191</v>
      </c>
      <c r="D207" s="154" t="inlineStr"/>
      <c r="E207" s="137" t="inlineStr">
        <is>
          <t>Buy</t>
        </is>
      </c>
      <c r="F207" s="136" t="inlineStr">
        <is>
          <t>Dime FCD USD</t>
        </is>
      </c>
      <c r="G207" s="136" t="inlineStr">
        <is>
          <t>Dime US Stocks</t>
        </is>
      </c>
      <c r="H207" s="159" t="n">
        <v>8.25</v>
      </c>
      <c r="I207" s="137" t="inlineStr">
        <is>
          <t>USD</t>
        </is>
      </c>
      <c r="J207" s="155">
        <f>IFERROR(LOOKUP(2,1/(tblFX[Date]&lt;=[@Date]),tblFX[Rate]),XLOOKUP("CURRENT_FX_USDTHB",tblSettings[Key],tblSettings[Value]))</f>
        <v/>
      </c>
      <c r="K207" s="128">
        <f>H207*J207</f>
        <v/>
      </c>
      <c r="L207" s="137" t="inlineStr">
        <is>
          <t>Investment</t>
        </is>
      </c>
      <c r="M207" s="136" t="inlineStr">
        <is>
          <t>US Stocks</t>
        </is>
      </c>
      <c r="N207" s="137" t="inlineStr">
        <is>
          <t>AMZN</t>
        </is>
      </c>
      <c r="O207" s="156" t="n">
        <v>0.03394363299732565</v>
      </c>
      <c r="P207" s="157" t="n">
        <v>243.05</v>
      </c>
      <c r="Q207" s="146" t="n">
        <v>0</v>
      </c>
      <c r="R207" s="146" t="inlineStr"/>
      <c r="S207" s="142" t="inlineStr"/>
      <c r="T207" s="142" t="inlineStr">
        <is>
          <t>มิถุนายน 2569 — ซื้อวันที่ 18 มิ.ย. 69 เวลา 23:01-23:06 น.</t>
        </is>
      </c>
      <c r="U207" s="142" t="inlineStr">
        <is>
          <t>USA STOCK HIS 2</t>
        </is>
      </c>
      <c r="V207" s="158" t="inlineStr">
        <is>
          <t>Confirmed</t>
        </is>
      </c>
      <c r="W207" s="146" t="n">
        <v>8.25</v>
      </c>
      <c r="X207" s="137" t="inlineStr">
        <is>
          <t>USD</t>
        </is>
      </c>
    </row>
    <row r="208">
      <c r="B208" s="153" t="inlineStr">
        <is>
          <t>TX-00203</t>
        </is>
      </c>
      <c r="C208" s="144" t="n">
        <v>46191</v>
      </c>
      <c r="D208" s="154" t="inlineStr"/>
      <c r="E208" s="137" t="inlineStr">
        <is>
          <t>Buy</t>
        </is>
      </c>
      <c r="F208" s="136" t="inlineStr">
        <is>
          <t>Dime FCD USD</t>
        </is>
      </c>
      <c r="G208" s="136" t="inlineStr">
        <is>
          <t>Dime US Stocks</t>
        </is>
      </c>
      <c r="H208" s="159" t="n">
        <v>5.5</v>
      </c>
      <c r="I208" s="137" t="inlineStr">
        <is>
          <t>USD</t>
        </is>
      </c>
      <c r="J208" s="155">
        <f>IFERROR(LOOKUP(2,1/(tblFX[Date]&lt;=[@Date]),tblFX[Rate]),XLOOKUP("CURRENT_FX_USDTHB",tblSettings[Key],tblSettings[Value]))</f>
        <v/>
      </c>
      <c r="K208" s="128">
        <f>H208*J208</f>
        <v/>
      </c>
      <c r="L208" s="137" t="inlineStr">
        <is>
          <t>Investment</t>
        </is>
      </c>
      <c r="M208" s="136" t="inlineStr">
        <is>
          <t>US Stocks</t>
        </is>
      </c>
      <c r="N208" s="137" t="inlineStr">
        <is>
          <t>BEPC</t>
        </is>
      </c>
      <c r="O208" s="156" t="n">
        <v>0.1468076019645526</v>
      </c>
      <c r="P208" s="157" t="n">
        <v>37.464</v>
      </c>
      <c r="Q208" s="146" t="n">
        <v>0</v>
      </c>
      <c r="R208" s="146" t="inlineStr"/>
      <c r="S208" s="142" t="inlineStr"/>
      <c r="T208" s="142" t="inlineStr">
        <is>
          <t>มิถุนายน 2569 — ซื้อวันที่ 18 มิ.ย. 69 เวลา 23:01-23:06 น.</t>
        </is>
      </c>
      <c r="U208" s="142" t="inlineStr">
        <is>
          <t>USA STOCK HIS 2</t>
        </is>
      </c>
      <c r="V208" s="158" t="inlineStr">
        <is>
          <t>Confirmed</t>
        </is>
      </c>
      <c r="W208" s="146" t="n">
        <v>5.5</v>
      </c>
      <c r="X208" s="137" t="inlineStr">
        <is>
          <t>USD</t>
        </is>
      </c>
    </row>
    <row r="209">
      <c r="B209" s="153" t="inlineStr">
        <is>
          <t>TX-00204</t>
        </is>
      </c>
      <c r="C209" s="144" t="n">
        <v>46191</v>
      </c>
      <c r="D209" s="154" t="inlineStr"/>
      <c r="E209" s="137" t="inlineStr">
        <is>
          <t>Buy</t>
        </is>
      </c>
      <c r="F209" s="136" t="inlineStr">
        <is>
          <t>Dime FCD USD</t>
        </is>
      </c>
      <c r="G209" s="136" t="inlineStr">
        <is>
          <t>Dime US Stocks</t>
        </is>
      </c>
      <c r="H209" s="159" t="n">
        <v>4.28</v>
      </c>
      <c r="I209" s="137" t="inlineStr">
        <is>
          <t>USD</t>
        </is>
      </c>
      <c r="J209" s="155">
        <f>IFERROR(LOOKUP(2,1/(tblFX[Date]&lt;=[@Date]),tblFX[Rate]),XLOOKUP("CURRENT_FX_USDTHB",tblSettings[Key],tblSettings[Value]))</f>
        <v/>
      </c>
      <c r="K209" s="128">
        <f>H209*J209</f>
        <v/>
      </c>
      <c r="L209" s="137" t="inlineStr">
        <is>
          <t>Investment</t>
        </is>
      </c>
      <c r="M209" s="136" t="inlineStr">
        <is>
          <t>US Stocks</t>
        </is>
      </c>
      <c r="N209" s="137" t="inlineStr">
        <is>
          <t>GOOGL</t>
        </is>
      </c>
      <c r="O209" s="156" t="n">
        <v>0.01170671932866888</v>
      </c>
      <c r="P209" s="157" t="n">
        <v>365.602</v>
      </c>
      <c r="Q209" s="146" t="n">
        <v>0</v>
      </c>
      <c r="R209" s="146" t="inlineStr"/>
      <c r="S209" s="142" t="inlineStr"/>
      <c r="T209" s="142" t="inlineStr">
        <is>
          <t>มิถุนายน 2569 — ซื้อวันที่ 18 มิ.ย. 69 เวลา 23:01-23:06 น.</t>
        </is>
      </c>
      <c r="U209" s="142" t="inlineStr">
        <is>
          <t>USA STOCK HIS 2</t>
        </is>
      </c>
      <c r="V209" s="158" t="inlineStr">
        <is>
          <t>Confirmed</t>
        </is>
      </c>
      <c r="W209" s="146" t="n">
        <v>4.28</v>
      </c>
      <c r="X209" s="137" t="inlineStr">
        <is>
          <t>USD</t>
        </is>
      </c>
    </row>
    <row r="210">
      <c r="B210" s="153" t="inlineStr">
        <is>
          <t>TX-00205</t>
        </is>
      </c>
      <c r="C210" s="144" t="n">
        <v>46191</v>
      </c>
      <c r="D210" s="154" t="inlineStr"/>
      <c r="E210" s="137" t="inlineStr">
        <is>
          <t>Buy</t>
        </is>
      </c>
      <c r="F210" s="136" t="inlineStr">
        <is>
          <t>Dime FCD USD</t>
        </is>
      </c>
      <c r="G210" s="136" t="inlineStr">
        <is>
          <t>Dime US Stocks</t>
        </is>
      </c>
      <c r="H210" s="159" t="n">
        <v>4.28</v>
      </c>
      <c r="I210" s="137" t="inlineStr">
        <is>
          <t>USD</t>
        </is>
      </c>
      <c r="J210" s="155">
        <f>IFERROR(LOOKUP(2,1/(tblFX[Date]&lt;=[@Date]),tblFX[Rate]),XLOOKUP("CURRENT_FX_USDTHB",tblSettings[Key],tblSettings[Value]))</f>
        <v/>
      </c>
      <c r="K210" s="128">
        <f>H210*J210</f>
        <v/>
      </c>
      <c r="L210" s="137" t="inlineStr">
        <is>
          <t>Investment</t>
        </is>
      </c>
      <c r="M210" s="136" t="inlineStr">
        <is>
          <t>US Stocks</t>
        </is>
      </c>
      <c r="N210" s="137" t="inlineStr">
        <is>
          <t>LLY</t>
        </is>
      </c>
      <c r="O210" s="156" t="n">
        <v>0.003915584391821918</v>
      </c>
      <c r="P210" s="157" t="n">
        <v>1093.068</v>
      </c>
      <c r="Q210" s="146" t="n">
        <v>0</v>
      </c>
      <c r="R210" s="146" t="inlineStr"/>
      <c r="S210" s="142" t="inlineStr"/>
      <c r="T210" s="142" t="inlineStr">
        <is>
          <t>มิถุนายน 2569 — ซื้อวันที่ 18 มิ.ย. 69 เวลา 23:01-23:06 น.</t>
        </is>
      </c>
      <c r="U210" s="142" t="inlineStr">
        <is>
          <t>USA STOCK HIS 2</t>
        </is>
      </c>
      <c r="V210" s="158" t="inlineStr">
        <is>
          <t>Confirmed</t>
        </is>
      </c>
      <c r="W210" s="146" t="n">
        <v>4.28</v>
      </c>
      <c r="X210" s="137" t="inlineStr">
        <is>
          <t>USD</t>
        </is>
      </c>
    </row>
    <row r="211">
      <c r="B211" s="153" t="inlineStr">
        <is>
          <t>TX-00206</t>
        </is>
      </c>
      <c r="C211" s="144" t="n">
        <v>46191</v>
      </c>
      <c r="D211" s="154" t="inlineStr"/>
      <c r="E211" s="137" t="inlineStr">
        <is>
          <t>Buy</t>
        </is>
      </c>
      <c r="F211" s="136" t="inlineStr">
        <is>
          <t>Dime FCD USD</t>
        </is>
      </c>
      <c r="G211" s="136" t="inlineStr">
        <is>
          <t>Dime US Stocks</t>
        </is>
      </c>
      <c r="H211" s="159" t="n">
        <v>12.53</v>
      </c>
      <c r="I211" s="137" t="inlineStr">
        <is>
          <t>USD</t>
        </is>
      </c>
      <c r="J211" s="155">
        <f>IFERROR(LOOKUP(2,1/(tblFX[Date]&lt;=[@Date]),tblFX[Rate]),XLOOKUP("CURRENT_FX_USDTHB",tblSettings[Key],tblSettings[Value]))</f>
        <v/>
      </c>
      <c r="K211" s="128">
        <f>H211*J211</f>
        <v/>
      </c>
      <c r="L211" s="137" t="inlineStr">
        <is>
          <t>Investment</t>
        </is>
      </c>
      <c r="M211" s="136" t="inlineStr">
        <is>
          <t>US Stocks</t>
        </is>
      </c>
      <c r="N211" s="137" t="inlineStr">
        <is>
          <t>META</t>
        </is>
      </c>
      <c r="O211" s="156" t="n">
        <v>0.02177994090039979</v>
      </c>
      <c r="P211" s="157" t="n">
        <v>575.3</v>
      </c>
      <c r="Q211" s="146" t="n">
        <v>0</v>
      </c>
      <c r="R211" s="146" t="inlineStr"/>
      <c r="S211" s="142" t="inlineStr"/>
      <c r="T211" s="142" t="inlineStr">
        <is>
          <t>มิถุนายน 2569 — ซื้อวันที่ 18 มิ.ย. 69 เวลา 23:01-23:06 น.</t>
        </is>
      </c>
      <c r="U211" s="142" t="inlineStr">
        <is>
          <t>USA STOCK HIS 2</t>
        </is>
      </c>
      <c r="V211" s="158" t="inlineStr">
        <is>
          <t>Confirmed</t>
        </is>
      </c>
      <c r="W211" s="146" t="n">
        <v>12.53</v>
      </c>
      <c r="X211" s="137" t="inlineStr">
        <is>
          <t>USD</t>
        </is>
      </c>
    </row>
    <row r="212">
      <c r="B212" s="153" t="inlineStr">
        <is>
          <t>TX-00207</t>
        </is>
      </c>
      <c r="C212" s="144" t="n">
        <v>46191</v>
      </c>
      <c r="D212" s="154" t="inlineStr"/>
      <c r="E212" s="137" t="inlineStr">
        <is>
          <t>Buy</t>
        </is>
      </c>
      <c r="F212" s="136" t="inlineStr">
        <is>
          <t>Dime FCD USD</t>
        </is>
      </c>
      <c r="G212" s="136" t="inlineStr">
        <is>
          <t>Dime US Stocks</t>
        </is>
      </c>
      <c r="H212" s="159" t="n">
        <v>12.52</v>
      </c>
      <c r="I212" s="137" t="inlineStr">
        <is>
          <t>USD</t>
        </is>
      </c>
      <c r="J212" s="155">
        <f>IFERROR(LOOKUP(2,1/(tblFX[Date]&lt;=[@Date]),tblFX[Rate]),XLOOKUP("CURRENT_FX_USDTHB",tblSettings[Key],tblSettings[Value]))</f>
        <v/>
      </c>
      <c r="K212" s="128">
        <f>H212*J212</f>
        <v/>
      </c>
      <c r="L212" s="137" t="inlineStr">
        <is>
          <t>Investment</t>
        </is>
      </c>
      <c r="M212" s="136" t="inlineStr">
        <is>
          <t>US Stocks</t>
        </is>
      </c>
      <c r="N212" s="137" t="inlineStr">
        <is>
          <t>MSFT</t>
        </is>
      </c>
      <c r="O212" s="156" t="n">
        <v>0.03318718953278162</v>
      </c>
      <c r="P212" s="157" t="n">
        <v>377.254</v>
      </c>
      <c r="Q212" s="146" t="n">
        <v>0</v>
      </c>
      <c r="R212" s="146" t="inlineStr"/>
      <c r="S212" s="142" t="inlineStr"/>
      <c r="T212" s="142" t="inlineStr">
        <is>
          <t>มิถุนายน 2569 — ซื้อวันที่ 18 มิ.ย. 69 เวลา 23:01-23:06 น.</t>
        </is>
      </c>
      <c r="U212" s="142" t="inlineStr">
        <is>
          <t>USA STOCK HIS 2</t>
        </is>
      </c>
      <c r="V212" s="158" t="inlineStr">
        <is>
          <t>Confirmed</t>
        </is>
      </c>
      <c r="W212" s="146" t="n">
        <v>12.52</v>
      </c>
      <c r="X212" s="137" t="inlineStr">
        <is>
          <t>USD</t>
        </is>
      </c>
    </row>
    <row r="213">
      <c r="B213" s="153" t="inlineStr">
        <is>
          <t>TX-00208</t>
        </is>
      </c>
      <c r="C213" s="144" t="n">
        <v>46191</v>
      </c>
      <c r="D213" s="154" t="inlineStr"/>
      <c r="E213" s="137" t="inlineStr">
        <is>
          <t>Buy</t>
        </is>
      </c>
      <c r="F213" s="136" t="inlineStr">
        <is>
          <t>Dime FCD USD</t>
        </is>
      </c>
      <c r="G213" s="136" t="inlineStr">
        <is>
          <t>Dime US Stocks</t>
        </is>
      </c>
      <c r="H213" s="159" t="n">
        <v>7.03</v>
      </c>
      <c r="I213" s="137" t="inlineStr">
        <is>
          <t>USD</t>
        </is>
      </c>
      <c r="J213" s="155">
        <f>IFERROR(LOOKUP(2,1/(tblFX[Date]&lt;=[@Date]),tblFX[Rate]),XLOOKUP("CURRENT_FX_USDTHB",tblSettings[Key],tblSettings[Value]))</f>
        <v/>
      </c>
      <c r="K213" s="128">
        <f>H213*J213</f>
        <v/>
      </c>
      <c r="L213" s="137" t="inlineStr">
        <is>
          <t>Investment</t>
        </is>
      </c>
      <c r="M213" s="136" t="inlineStr">
        <is>
          <t>US Stocks</t>
        </is>
      </c>
      <c r="N213" s="137" t="inlineStr">
        <is>
          <t>NVDA</t>
        </is>
      </c>
      <c r="O213" s="156" t="n">
        <v>0.03363217972883756</v>
      </c>
      <c r="P213" s="157" t="n">
        <v>209.026</v>
      </c>
      <c r="Q213" s="146" t="n">
        <v>0</v>
      </c>
      <c r="R213" s="146" t="inlineStr"/>
      <c r="S213" s="142" t="inlineStr"/>
      <c r="T213" s="142" t="inlineStr">
        <is>
          <t>มิถุนายน 2569 — ซื้อวันที่ 18 มิ.ย. 69 เวลา 23:01-23:06 น.</t>
        </is>
      </c>
      <c r="U213" s="142" t="inlineStr">
        <is>
          <t>USA STOCK HIS 2</t>
        </is>
      </c>
      <c r="V213" s="158" t="inlineStr">
        <is>
          <t>Confirmed</t>
        </is>
      </c>
      <c r="W213" s="146" t="n">
        <v>7.03</v>
      </c>
      <c r="X213" s="137" t="inlineStr">
        <is>
          <t>USD</t>
        </is>
      </c>
    </row>
    <row r="214">
      <c r="B214" s="153" t="inlineStr">
        <is>
          <t>TX-00209</t>
        </is>
      </c>
      <c r="C214" s="144" t="n">
        <v>46191</v>
      </c>
      <c r="D214" s="154" t="inlineStr"/>
      <c r="E214" s="137" t="inlineStr">
        <is>
          <t>Buy</t>
        </is>
      </c>
      <c r="F214" s="136" t="inlineStr">
        <is>
          <t>Dime FCD USD</t>
        </is>
      </c>
      <c r="G214" s="136" t="inlineStr">
        <is>
          <t>Dime US Stocks</t>
        </is>
      </c>
      <c r="H214" s="159" t="n">
        <v>9.779999999999999</v>
      </c>
      <c r="I214" s="137" t="inlineStr">
        <is>
          <t>USD</t>
        </is>
      </c>
      <c r="J214" s="155">
        <f>IFERROR(LOOKUP(2,1/(tblFX[Date]&lt;=[@Date]),tblFX[Rate]),XLOOKUP("CURRENT_FX_USDTHB",tblSettings[Key],tblSettings[Value]))</f>
        <v/>
      </c>
      <c r="K214" s="128">
        <f>H214*J214</f>
        <v/>
      </c>
      <c r="L214" s="137" t="inlineStr">
        <is>
          <t>Investment</t>
        </is>
      </c>
      <c r="M214" s="136" t="inlineStr">
        <is>
          <t>US Stocks</t>
        </is>
      </c>
      <c r="N214" s="137" t="inlineStr">
        <is>
          <t>PRCT</t>
        </is>
      </c>
      <c r="O214" s="156" t="n">
        <v>0.4655812624964296</v>
      </c>
      <c r="P214" s="157" t="n">
        <v>21.006</v>
      </c>
      <c r="Q214" s="146" t="n">
        <v>0</v>
      </c>
      <c r="R214" s="146" t="inlineStr"/>
      <c r="S214" s="142" t="inlineStr"/>
      <c r="T214" s="142" t="inlineStr">
        <is>
          <t>มิถุนายน 2569 — ซื้อวันที่ 18 มิ.ย. 69 เวลา 23:01-23:06 น.</t>
        </is>
      </c>
      <c r="U214" s="142" t="inlineStr">
        <is>
          <t>USA STOCK HIS 2</t>
        </is>
      </c>
      <c r="V214" s="158" t="inlineStr">
        <is>
          <t>Confirmed</t>
        </is>
      </c>
      <c r="W214" s="146" t="n">
        <v>9.779999999999999</v>
      </c>
      <c r="X214" s="137" t="inlineStr">
        <is>
          <t>USD</t>
        </is>
      </c>
    </row>
    <row r="215">
      <c r="B215" s="153" t="inlineStr">
        <is>
          <t>TX-00210</t>
        </is>
      </c>
      <c r="C215" s="144" t="n">
        <v>46191</v>
      </c>
      <c r="D215" s="154" t="inlineStr"/>
      <c r="E215" s="137" t="inlineStr">
        <is>
          <t>Buy</t>
        </is>
      </c>
      <c r="F215" s="136" t="inlineStr">
        <is>
          <t>Dime FCD USD</t>
        </is>
      </c>
      <c r="G215" s="136" t="inlineStr">
        <is>
          <t>Dime US Stocks</t>
        </is>
      </c>
      <c r="H215" s="159" t="n">
        <v>2.75</v>
      </c>
      <c r="I215" s="137" t="inlineStr">
        <is>
          <t>USD</t>
        </is>
      </c>
      <c r="J215" s="155">
        <f>IFERROR(LOOKUP(2,1/(tblFX[Date]&lt;=[@Date]),tblFX[Rate]),XLOOKUP("CURRENT_FX_USDTHB",tblSettings[Key],tblSettings[Value]))</f>
        <v/>
      </c>
      <c r="K215" s="128">
        <f>H215*J215</f>
        <v/>
      </c>
      <c r="L215" s="137" t="inlineStr">
        <is>
          <t>Investment</t>
        </is>
      </c>
      <c r="M215" s="136" t="inlineStr">
        <is>
          <t>US Stocks</t>
        </is>
      </c>
      <c r="N215" s="137" t="inlineStr">
        <is>
          <t>SCHD</t>
        </is>
      </c>
      <c r="O215" s="156" t="n">
        <v>0.08659235468228478</v>
      </c>
      <c r="P215" s="157" t="n">
        <v>31.758</v>
      </c>
      <c r="Q215" s="146" t="n">
        <v>0</v>
      </c>
      <c r="R215" s="146" t="inlineStr"/>
      <c r="S215" s="142" t="inlineStr"/>
      <c r="T215" s="142" t="inlineStr">
        <is>
          <t>มิถุนายน 2569 — ซื้อวันที่ 18 มิ.ย. 69 เวลา 23:01-23:06 น.</t>
        </is>
      </c>
      <c r="U215" s="142" t="inlineStr">
        <is>
          <t>USA STOCK HIS 2</t>
        </is>
      </c>
      <c r="V215" s="158" t="inlineStr">
        <is>
          <t>Confirmed</t>
        </is>
      </c>
      <c r="W215" s="146" t="n">
        <v>2.75</v>
      </c>
      <c r="X215" s="137" t="inlineStr">
        <is>
          <t>USD</t>
        </is>
      </c>
    </row>
    <row r="216">
      <c r="B216" s="153" t="inlineStr">
        <is>
          <t>TX-00211</t>
        </is>
      </c>
      <c r="C216" s="144" t="n">
        <v>46191</v>
      </c>
      <c r="D216" s="154" t="inlineStr"/>
      <c r="E216" s="137" t="inlineStr">
        <is>
          <t>Buy</t>
        </is>
      </c>
      <c r="F216" s="136" t="inlineStr">
        <is>
          <t>Dime FCD USD</t>
        </is>
      </c>
      <c r="G216" s="136" t="inlineStr">
        <is>
          <t>Dime US Stocks</t>
        </is>
      </c>
      <c r="H216" s="159" t="n">
        <v>2.75</v>
      </c>
      <c r="I216" s="137" t="inlineStr">
        <is>
          <t>USD</t>
        </is>
      </c>
      <c r="J216" s="155">
        <f>IFERROR(LOOKUP(2,1/(tblFX[Date]&lt;=[@Date]),tblFX[Rate]),XLOOKUP("CURRENT_FX_USDTHB",tblSettings[Key],tblSettings[Value]))</f>
        <v/>
      </c>
      <c r="K216" s="128">
        <f>H216*J216</f>
        <v/>
      </c>
      <c r="L216" s="137" t="inlineStr">
        <is>
          <t>Investment</t>
        </is>
      </c>
      <c r="M216" s="136" t="inlineStr">
        <is>
          <t>US Stocks</t>
        </is>
      </c>
      <c r="N216" s="137" t="inlineStr">
        <is>
          <t>SCHG</t>
        </is>
      </c>
      <c r="O216" s="156" t="n">
        <v>0.08141393806619694</v>
      </c>
      <c r="P216" s="157" t="n">
        <v>33.778</v>
      </c>
      <c r="Q216" s="146" t="n">
        <v>0</v>
      </c>
      <c r="R216" s="146" t="inlineStr"/>
      <c r="S216" s="142" t="inlineStr"/>
      <c r="T216" s="142" t="inlineStr">
        <is>
          <t>มิถุนายน 2569 — ซื้อวันที่ 18 มิ.ย. 69 เวลา 23:01-23:06 น.</t>
        </is>
      </c>
      <c r="U216" s="142" t="inlineStr">
        <is>
          <t>USA STOCK HIS 2</t>
        </is>
      </c>
      <c r="V216" s="158" t="inlineStr">
        <is>
          <t>Confirmed</t>
        </is>
      </c>
      <c r="W216" s="146" t="n">
        <v>2.75</v>
      </c>
      <c r="X216" s="137" t="inlineStr">
        <is>
          <t>USD</t>
        </is>
      </c>
    </row>
    <row r="217">
      <c r="B217" s="153" t="inlineStr">
        <is>
          <t>TX-00212</t>
        </is>
      </c>
      <c r="C217" s="144" t="n">
        <v>46191</v>
      </c>
      <c r="D217" s="154" t="inlineStr"/>
      <c r="E217" s="137" t="inlineStr">
        <is>
          <t>Buy</t>
        </is>
      </c>
      <c r="F217" s="136" t="inlineStr">
        <is>
          <t>Dime FCD USD</t>
        </is>
      </c>
      <c r="G217" s="136" t="inlineStr">
        <is>
          <t>Dime US Stocks</t>
        </is>
      </c>
      <c r="H217" s="159" t="n">
        <v>7.03</v>
      </c>
      <c r="I217" s="137" t="inlineStr">
        <is>
          <t>USD</t>
        </is>
      </c>
      <c r="J217" s="155">
        <f>IFERROR(LOOKUP(2,1/(tblFX[Date]&lt;=[@Date]),tblFX[Rate]),XLOOKUP("CURRENT_FX_USDTHB",tblSettings[Key],tblSettings[Value]))</f>
        <v/>
      </c>
      <c r="K217" s="128">
        <f>H217*J217</f>
        <v/>
      </c>
      <c r="L217" s="137" t="inlineStr">
        <is>
          <t>Investment</t>
        </is>
      </c>
      <c r="M217" s="136" t="inlineStr">
        <is>
          <t>US Stocks</t>
        </is>
      </c>
      <c r="N217" s="137" t="inlineStr">
        <is>
          <t>V</t>
        </is>
      </c>
      <c r="O217" s="156" t="n">
        <v>0.02135830300231508</v>
      </c>
      <c r="P217" s="157" t="n">
        <v>329.146</v>
      </c>
      <c r="Q217" s="146" t="n">
        <v>0</v>
      </c>
      <c r="R217" s="146" t="inlineStr"/>
      <c r="S217" s="142" t="inlineStr"/>
      <c r="T217" s="142" t="inlineStr">
        <is>
          <t>มิถุนายน 2569 — ซื้อวันที่ 18 มิ.ย. 69 เวลา 23:01-23:06 น.</t>
        </is>
      </c>
      <c r="U217" s="142" t="inlineStr">
        <is>
          <t>USA STOCK HIS 2</t>
        </is>
      </c>
      <c r="V217" s="158" t="inlineStr">
        <is>
          <t>Confirmed</t>
        </is>
      </c>
      <c r="W217" s="146" t="n">
        <v>7.03</v>
      </c>
      <c r="X217" s="137" t="inlineStr">
        <is>
          <t>USD</t>
        </is>
      </c>
    </row>
    <row r="218">
      <c r="B218" s="153" t="inlineStr">
        <is>
          <t>TX-00213</t>
        </is>
      </c>
      <c r="C218" s="144" t="n">
        <v>46191</v>
      </c>
      <c r="D218" s="154" t="inlineStr">
        <is>
          <t>23:00:27</t>
        </is>
      </c>
      <c r="E218" s="137" t="inlineStr">
        <is>
          <t>Transfer</t>
        </is>
      </c>
      <c r="F218" s="136" t="inlineStr">
        <is>
          <t>Dime Save THB</t>
        </is>
      </c>
      <c r="G218" s="136" t="inlineStr">
        <is>
          <t>Dime FCD USD</t>
        </is>
      </c>
      <c r="H218" s="130" t="n">
        <v>2999.9</v>
      </c>
      <c r="I218" s="137" t="inlineStr">
        <is>
          <t>THB</t>
        </is>
      </c>
      <c r="J218" s="155" t="n">
        <v>1</v>
      </c>
      <c r="K218" s="128">
        <f>H218*J218</f>
        <v/>
      </c>
      <c r="L218" s="137" t="inlineStr">
        <is>
          <t>Transfer</t>
        </is>
      </c>
      <c r="M218" s="136" t="inlineStr">
        <is>
          <t>FX Conversion</t>
        </is>
      </c>
      <c r="N218" s="137" t="inlineStr"/>
      <c r="O218" s="156" t="inlineStr"/>
      <c r="P218" s="157" t="inlineStr"/>
      <c r="Q218" s="146" t="n">
        <v>0</v>
      </c>
      <c r="R218" s="146" t="inlineStr"/>
      <c r="S218" s="142" t="inlineStr"/>
      <c r="T218" s="142" t="inlineStr">
        <is>
          <t>แลก ฿2,999.90 -&gt; $91.21 @ 32.8900 | กู้คืนจากประวัติโยกเงิน (ตกหล่นใน DIME EX)</t>
        </is>
      </c>
      <c r="U218" s="142" t="inlineStr">
        <is>
          <t>ประวัติโยกเงิน (derived)</t>
        </is>
      </c>
      <c r="V218" s="160" t="inlineStr">
        <is>
          <t>Pending</t>
        </is>
      </c>
      <c r="W218" s="146" t="n">
        <v>91.20999999999999</v>
      </c>
      <c r="X218" s="137" t="inlineStr">
        <is>
          <t>USD</t>
        </is>
      </c>
    </row>
    <row r="219">
      <c r="B219" s="153" t="inlineStr">
        <is>
          <t>TX-00214</t>
        </is>
      </c>
      <c r="C219" s="144" t="n">
        <v>46203</v>
      </c>
      <c r="D219" s="154" t="inlineStr">
        <is>
          <t>07:25:34</t>
        </is>
      </c>
      <c r="E219" s="137" t="inlineStr">
        <is>
          <t>Transfer</t>
        </is>
      </c>
      <c r="F219" s="136" t="inlineStr">
        <is>
          <t>N/A</t>
        </is>
      </c>
      <c r="G219" s="136" t="inlineStr">
        <is>
          <t>Dime Save THB</t>
        </is>
      </c>
      <c r="H219" s="130" t="n">
        <v>4000</v>
      </c>
      <c r="I219" s="137" t="inlineStr">
        <is>
          <t>THB</t>
        </is>
      </c>
      <c r="J219" s="155" t="n">
        <v>1</v>
      </c>
      <c r="K219" s="128">
        <f>H219*J219</f>
        <v/>
      </c>
      <c r="L219" s="137" t="inlineStr">
        <is>
          <t>Transfer</t>
        </is>
      </c>
      <c r="M219" s="136" t="inlineStr">
        <is>
          <t>Incoming Funding</t>
        </is>
      </c>
      <c r="N219" s="137" t="inlineStr"/>
      <c r="O219" s="156" t="inlineStr"/>
      <c r="P219" s="157" t="inlineStr"/>
      <c r="Q219" s="146" t="n">
        <v>0</v>
      </c>
      <c r="R219" s="146" t="inlineStr"/>
      <c r="S219" s="142" t="inlineStr"/>
      <c r="T219" s="142" t="inlineStr">
        <is>
          <t>ต้นทางยังไม่ระบุในหลักฐาน — ต้องยืนยันว่าเป็นบัญชีตัวเอง (Transfer) หรือรายได้ (Income)</t>
        </is>
      </c>
      <c r="U219" s="142" t="inlineStr">
        <is>
          <t>ประวัติโยกเงิน</t>
        </is>
      </c>
      <c r="V219" s="160" t="inlineStr">
        <is>
          <t>Pending</t>
        </is>
      </c>
      <c r="W219" s="128" t="n">
        <v>4000</v>
      </c>
      <c r="X219" s="137" t="inlineStr">
        <is>
          <t>THB</t>
        </is>
      </c>
    </row>
    <row r="220">
      <c r="B220" s="153" t="inlineStr">
        <is>
          <t>TX-00215</t>
        </is>
      </c>
      <c r="C220" s="144" t="n">
        <v>46203</v>
      </c>
      <c r="D220" s="154" t="inlineStr">
        <is>
          <t>14:26:15</t>
        </is>
      </c>
      <c r="E220" s="137" t="inlineStr">
        <is>
          <t>Transfer</t>
        </is>
      </c>
      <c r="F220" s="136" t="inlineStr">
        <is>
          <t>Dime Save THB</t>
        </is>
      </c>
      <c r="G220" s="136" t="inlineStr">
        <is>
          <t>Dime FCD USD</t>
        </is>
      </c>
      <c r="H220" s="130" t="n">
        <v>2999.82</v>
      </c>
      <c r="I220" s="137" t="inlineStr">
        <is>
          <t>THB</t>
        </is>
      </c>
      <c r="J220" s="155" t="n">
        <v>1</v>
      </c>
      <c r="K220" s="128">
        <f>H220*J220</f>
        <v/>
      </c>
      <c r="L220" s="137" t="inlineStr">
        <is>
          <t>Transfer</t>
        </is>
      </c>
      <c r="M220" s="136" t="inlineStr">
        <is>
          <t>FX Conversion</t>
        </is>
      </c>
      <c r="N220" s="137" t="inlineStr"/>
      <c r="O220" s="156" t="inlineStr"/>
      <c r="P220" s="157" t="inlineStr"/>
      <c r="Q220" s="146" t="n">
        <v>0</v>
      </c>
      <c r="R220" s="146" t="inlineStr"/>
      <c r="S220" s="142" t="inlineStr"/>
      <c r="T220" s="142" t="inlineStr">
        <is>
          <t>แลก ฿2,999.82 -&gt; $90.22 @ 33.2501 | กู้คืนจากประวัติโยกเงิน (ตกหล่นใน DIME EX)</t>
        </is>
      </c>
      <c r="U220" s="142" t="inlineStr">
        <is>
          <t>ประวัติโยกเงิน (derived)</t>
        </is>
      </c>
      <c r="V220" s="160" t="inlineStr">
        <is>
          <t>Pending</t>
        </is>
      </c>
      <c r="W220" s="146" t="n">
        <v>90.22</v>
      </c>
      <c r="X220" s="137" t="inlineStr">
        <is>
          <t>USD</t>
        </is>
      </c>
    </row>
    <row r="221">
      <c r="B221" s="153" t="inlineStr">
        <is>
          <t>TX-00216</t>
        </is>
      </c>
      <c r="C221" s="144" t="n">
        <v>46203</v>
      </c>
      <c r="D221" s="154" t="inlineStr">
        <is>
          <t>23:59:59</t>
        </is>
      </c>
      <c r="E221" s="137" t="inlineStr">
        <is>
          <t>Interest</t>
        </is>
      </c>
      <c r="F221" s="136" t="inlineStr">
        <is>
          <t>N/A</t>
        </is>
      </c>
      <c r="G221" s="136" t="inlineStr">
        <is>
          <t>Dime Save THB</t>
        </is>
      </c>
      <c r="H221" s="130" t="n">
        <v>187.87</v>
      </c>
      <c r="I221" s="137" t="inlineStr">
        <is>
          <t>THB</t>
        </is>
      </c>
      <c r="J221" s="155" t="n">
        <v>1</v>
      </c>
      <c r="K221" s="128">
        <f>H221*J221</f>
        <v/>
      </c>
      <c r="L221" s="137" t="inlineStr">
        <is>
          <t>Income</t>
        </is>
      </c>
      <c r="M221" s="136" t="inlineStr">
        <is>
          <t>Interest</t>
        </is>
      </c>
      <c r="N221" s="137" t="inlineStr"/>
      <c r="O221" s="156" t="inlineStr"/>
      <c r="P221" s="157" t="inlineStr"/>
      <c r="Q221" s="146" t="n">
        <v>0</v>
      </c>
      <c r="R221" s="146" t="inlineStr"/>
      <c r="S221" s="142" t="inlineStr">
        <is>
          <t>Interest Income (WHT 15%)</t>
        </is>
      </c>
      <c r="T221" s="142" t="inlineStr">
        <is>
          <t>ดอกเบี้ยรับ</t>
        </is>
      </c>
      <c r="U221" s="142" t="inlineStr">
        <is>
          <t>ประวัติโยกเงิน</t>
        </is>
      </c>
      <c r="V221" s="158" t="inlineStr">
        <is>
          <t>Confirmed</t>
        </is>
      </c>
      <c r="W221" s="128" t="n">
        <v>187.87</v>
      </c>
      <c r="X221" s="137" t="inlineStr">
        <is>
          <t>THB</t>
        </is>
      </c>
    </row>
    <row r="222">
      <c r="B222" s="153" t="inlineStr">
        <is>
          <t>TX-00217</t>
        </is>
      </c>
      <c r="C222" s="144" t="n">
        <v>46203</v>
      </c>
      <c r="D222" s="154" t="inlineStr">
        <is>
          <t>23:59:59</t>
        </is>
      </c>
      <c r="E222" s="137" t="inlineStr">
        <is>
          <t>Interest</t>
        </is>
      </c>
      <c r="F222" s="136" t="inlineStr">
        <is>
          <t>N/A</t>
        </is>
      </c>
      <c r="G222" s="136" t="inlineStr">
        <is>
          <t>Dime FCD USD</t>
        </is>
      </c>
      <c r="H222" s="159" t="n">
        <v>10.37</v>
      </c>
      <c r="I222" s="137" t="inlineStr">
        <is>
          <t>USD</t>
        </is>
      </c>
      <c r="J222" s="155">
        <f>IFERROR(LOOKUP(2,1/(tblFX[Date]&lt;=[@Date]),tblFX[Rate]),XLOOKUP("CURRENT_FX_USDTHB",tblSettings[Key],tblSettings[Value]))</f>
        <v/>
      </c>
      <c r="K222" s="128">
        <f>H222*J222</f>
        <v/>
      </c>
      <c r="L222" s="137" t="inlineStr">
        <is>
          <t>Income</t>
        </is>
      </c>
      <c r="M222" s="136" t="inlineStr">
        <is>
          <t>Interest</t>
        </is>
      </c>
      <c r="N222" s="137" t="inlineStr"/>
      <c r="O222" s="156" t="inlineStr"/>
      <c r="P222" s="157" t="inlineStr"/>
      <c r="Q222" s="146" t="n">
        <v>0</v>
      </c>
      <c r="R222" s="146" t="inlineStr"/>
      <c r="S222" s="142" t="inlineStr">
        <is>
          <t>Interest Income (WHT 15%)</t>
        </is>
      </c>
      <c r="T222" s="142" t="inlineStr">
        <is>
          <t>ดอกเบี้ยรับ</t>
        </is>
      </c>
      <c r="U222" s="142" t="inlineStr">
        <is>
          <t>ประวัติโยกเงิน</t>
        </is>
      </c>
      <c r="V222" s="158" t="inlineStr">
        <is>
          <t>Confirmed</t>
        </is>
      </c>
      <c r="W222" s="146" t="n">
        <v>10.37</v>
      </c>
      <c r="X222" s="137" t="inlineStr">
        <is>
          <t>USD</t>
        </is>
      </c>
    </row>
    <row r="223">
      <c r="B223" s="153" t="inlineStr">
        <is>
          <t>TX-00218</t>
        </is>
      </c>
      <c r="C223" s="144" t="n">
        <v>46224</v>
      </c>
      <c r="D223" s="154" t="inlineStr"/>
      <c r="E223" s="137" t="inlineStr">
        <is>
          <t>Buy</t>
        </is>
      </c>
      <c r="F223" s="136" t="inlineStr">
        <is>
          <t>Dime FCD USD</t>
        </is>
      </c>
      <c r="G223" s="136" t="inlineStr">
        <is>
          <t>Dime US Stocks</t>
        </is>
      </c>
      <c r="H223" s="159" t="n">
        <v>4.46</v>
      </c>
      <c r="I223" s="137" t="inlineStr">
        <is>
          <t>USD</t>
        </is>
      </c>
      <c r="J223" s="155">
        <f>IFERROR(LOOKUP(2,1/(tblFX[Date]&lt;=[@Date]),tblFX[Rate]),XLOOKUP("CURRENT_FX_USDTHB",tblSettings[Key],tblSettings[Value]))</f>
        <v/>
      </c>
      <c r="K223" s="128">
        <f>H223*J223</f>
        <v/>
      </c>
      <c r="L223" s="137" t="inlineStr">
        <is>
          <t>Investment</t>
        </is>
      </c>
      <c r="M223" s="136" t="inlineStr">
        <is>
          <t>US Stocks</t>
        </is>
      </c>
      <c r="N223" s="137" t="inlineStr">
        <is>
          <t>AAPL</t>
        </is>
      </c>
      <c r="O223" s="156" t="n">
        <v>0.01367041428098525</v>
      </c>
      <c r="P223" s="157" t="n">
        <v>326.252</v>
      </c>
      <c r="Q223" s="146" t="n">
        <v>0</v>
      </c>
      <c r="R223" s="146" t="inlineStr"/>
      <c r="S223" s="142" t="inlineStr"/>
      <c r="T223" s="142" t="inlineStr">
        <is>
          <t>กรกฎาคม 2569 — ซื้อวันที่ 21 ก.ค. 69 เวลา 21:14-21:20 น.</t>
        </is>
      </c>
      <c r="U223" s="142" t="inlineStr">
        <is>
          <t>USA STOCK HIS 2</t>
        </is>
      </c>
      <c r="V223" s="158" t="inlineStr">
        <is>
          <t>Confirmed</t>
        </is>
      </c>
      <c r="W223" s="146" t="n">
        <v>4.46</v>
      </c>
      <c r="X223" s="137" t="inlineStr">
        <is>
          <t>USD</t>
        </is>
      </c>
    </row>
    <row r="224">
      <c r="B224" s="153" t="inlineStr">
        <is>
          <t>TX-00219</t>
        </is>
      </c>
      <c r="C224" s="144" t="n">
        <v>46224</v>
      </c>
      <c r="D224" s="154" t="inlineStr"/>
      <c r="E224" s="137" t="inlineStr">
        <is>
          <t>Buy</t>
        </is>
      </c>
      <c r="F224" s="136" t="inlineStr">
        <is>
          <t>Dime FCD USD</t>
        </is>
      </c>
      <c r="G224" s="136" t="inlineStr">
        <is>
          <t>Dime US Stocks</t>
        </is>
      </c>
      <c r="H224" s="159" t="n">
        <v>9.07</v>
      </c>
      <c r="I224" s="137" t="inlineStr">
        <is>
          <t>USD</t>
        </is>
      </c>
      <c r="J224" s="155">
        <f>IFERROR(LOOKUP(2,1/(tblFX[Date]&lt;=[@Date]),tblFX[Rate]),XLOOKUP("CURRENT_FX_USDTHB",tblSettings[Key],tblSettings[Value]))</f>
        <v/>
      </c>
      <c r="K224" s="128">
        <f>H224*J224</f>
        <v/>
      </c>
      <c r="L224" s="137" t="inlineStr">
        <is>
          <t>Investment</t>
        </is>
      </c>
      <c r="M224" s="136" t="inlineStr">
        <is>
          <t>US Stocks</t>
        </is>
      </c>
      <c r="N224" s="137" t="inlineStr">
        <is>
          <t>AMPX</t>
        </is>
      </c>
      <c r="O224" s="156" t="n">
        <v>0.8706085621040508</v>
      </c>
      <c r="P224" s="157" t="n">
        <v>10.418</v>
      </c>
      <c r="Q224" s="146" t="n">
        <v>0</v>
      </c>
      <c r="R224" s="146" t="inlineStr"/>
      <c r="S224" s="142" t="inlineStr"/>
      <c r="T224" s="142" t="inlineStr">
        <is>
          <t>กรกฎาคม 2569 — ซื้อวันที่ 21 ก.ค. 69 เวลา 21:14-21:20 น.</t>
        </is>
      </c>
      <c r="U224" s="142" t="inlineStr">
        <is>
          <t>USA STOCK HIS 2</t>
        </is>
      </c>
      <c r="V224" s="158" t="inlineStr">
        <is>
          <t>Confirmed</t>
        </is>
      </c>
      <c r="W224" s="146" t="n">
        <v>9.07</v>
      </c>
      <c r="X224" s="137" t="inlineStr">
        <is>
          <t>USD</t>
        </is>
      </c>
    </row>
    <row r="225">
      <c r="B225" s="153" t="inlineStr">
        <is>
          <t>TX-00220</t>
        </is>
      </c>
      <c r="C225" s="144" t="n">
        <v>46224</v>
      </c>
      <c r="D225" s="154" t="inlineStr"/>
      <c r="E225" s="137" t="inlineStr">
        <is>
          <t>Buy</t>
        </is>
      </c>
      <c r="F225" s="136" t="inlineStr">
        <is>
          <t>Dime FCD USD</t>
        </is>
      </c>
      <c r="G225" s="136" t="inlineStr">
        <is>
          <t>Dime US Stocks</t>
        </is>
      </c>
      <c r="H225" s="159" t="n">
        <v>9.07</v>
      </c>
      <c r="I225" s="137" t="inlineStr">
        <is>
          <t>USD</t>
        </is>
      </c>
      <c r="J225" s="155">
        <f>IFERROR(LOOKUP(2,1/(tblFX[Date]&lt;=[@Date]),tblFX[Rate]),XLOOKUP("CURRENT_FX_USDTHB",tblSettings[Key],tblSettings[Value]))</f>
        <v/>
      </c>
      <c r="K225" s="128">
        <f>H225*J225</f>
        <v/>
      </c>
      <c r="L225" s="137" t="inlineStr">
        <is>
          <t>Investment</t>
        </is>
      </c>
      <c r="M225" s="136" t="inlineStr">
        <is>
          <t>US Stocks</t>
        </is>
      </c>
      <c r="N225" s="137" t="inlineStr">
        <is>
          <t>AMZN</t>
        </is>
      </c>
      <c r="O225" s="156" t="n">
        <v>0.03669865829381586</v>
      </c>
      <c r="P225" s="157" t="n">
        <v>247.148</v>
      </c>
      <c r="Q225" s="146" t="n">
        <v>0</v>
      </c>
      <c r="R225" s="146" t="inlineStr"/>
      <c r="S225" s="142" t="inlineStr"/>
      <c r="T225" s="142" t="inlineStr">
        <is>
          <t>กรกฎาคม 2569 — ซื้อวันที่ 21 ก.ค. 69 เวลา 21:14-21:20 น.</t>
        </is>
      </c>
      <c r="U225" s="142" t="inlineStr">
        <is>
          <t>USA STOCK HIS 2</t>
        </is>
      </c>
      <c r="V225" s="158" t="inlineStr">
        <is>
          <t>Confirmed</t>
        </is>
      </c>
      <c r="W225" s="146" t="n">
        <v>9.07</v>
      </c>
      <c r="X225" s="137" t="inlineStr">
        <is>
          <t>USD</t>
        </is>
      </c>
    </row>
    <row r="226">
      <c r="B226" s="153" t="inlineStr">
        <is>
          <t>TX-00221</t>
        </is>
      </c>
      <c r="C226" s="144" t="n">
        <v>46224</v>
      </c>
      <c r="D226" s="154" t="inlineStr"/>
      <c r="E226" s="137" t="inlineStr">
        <is>
          <t>Buy</t>
        </is>
      </c>
      <c r="F226" s="136" t="inlineStr">
        <is>
          <t>Dime FCD USD</t>
        </is>
      </c>
      <c r="G226" s="136" t="inlineStr">
        <is>
          <t>Dime US Stocks</t>
        </is>
      </c>
      <c r="H226" s="159" t="n">
        <v>4.46</v>
      </c>
      <c r="I226" s="137" t="inlineStr">
        <is>
          <t>USD</t>
        </is>
      </c>
      <c r="J226" s="155">
        <f>IFERROR(LOOKUP(2,1/(tblFX[Date]&lt;=[@Date]),tblFX[Rate]),XLOOKUP("CURRENT_FX_USDTHB",tblSettings[Key],tblSettings[Value]))</f>
        <v/>
      </c>
      <c r="K226" s="128">
        <f>H226*J226</f>
        <v/>
      </c>
      <c r="L226" s="137" t="inlineStr">
        <is>
          <t>Investment</t>
        </is>
      </c>
      <c r="M226" s="136" t="inlineStr">
        <is>
          <t>US Stocks</t>
        </is>
      </c>
      <c r="N226" s="137" t="inlineStr">
        <is>
          <t>BEPC</t>
        </is>
      </c>
      <c r="O226" s="156" t="n">
        <v>0.1306844819503047</v>
      </c>
      <c r="P226" s="157" t="n">
        <v>34.128</v>
      </c>
      <c r="Q226" s="146" t="n">
        <v>0</v>
      </c>
      <c r="R226" s="146" t="inlineStr"/>
      <c r="S226" s="142" t="inlineStr"/>
      <c r="T226" s="142" t="inlineStr">
        <is>
          <t>กรกฎาคม 2569 — ซื้อวันที่ 21 ก.ค. 69 เวลา 21:14-21:20 น.</t>
        </is>
      </c>
      <c r="U226" s="142" t="inlineStr">
        <is>
          <t>USA STOCK HIS 2</t>
        </is>
      </c>
      <c r="V226" s="158" t="inlineStr">
        <is>
          <t>Confirmed</t>
        </is>
      </c>
      <c r="W226" s="146" t="n">
        <v>4.46</v>
      </c>
      <c r="X226" s="137" t="inlineStr">
        <is>
          <t>USD</t>
        </is>
      </c>
    </row>
    <row r="227">
      <c r="B227" s="153" t="inlineStr">
        <is>
          <t>TX-00222</t>
        </is>
      </c>
      <c r="C227" s="144" t="n">
        <v>46224</v>
      </c>
      <c r="D227" s="154" t="inlineStr"/>
      <c r="E227" s="137" t="inlineStr">
        <is>
          <t>Buy</t>
        </is>
      </c>
      <c r="F227" s="136" t="inlineStr">
        <is>
          <t>Dime FCD USD</t>
        </is>
      </c>
      <c r="G227" s="136" t="inlineStr">
        <is>
          <t>Dime US Stocks</t>
        </is>
      </c>
      <c r="H227" s="159" t="n">
        <v>7.58</v>
      </c>
      <c r="I227" s="137" t="inlineStr">
        <is>
          <t>USD</t>
        </is>
      </c>
      <c r="J227" s="155">
        <f>IFERROR(LOOKUP(2,1/(tblFX[Date]&lt;=[@Date]),tblFX[Rate]),XLOOKUP("CURRENT_FX_USDTHB",tblSettings[Key],tblSettings[Value]))</f>
        <v/>
      </c>
      <c r="K227" s="128">
        <f>H227*J227</f>
        <v/>
      </c>
      <c r="L227" s="137" t="inlineStr">
        <is>
          <t>Investment</t>
        </is>
      </c>
      <c r="M227" s="136" t="inlineStr">
        <is>
          <t>US Stocks</t>
        </is>
      </c>
      <c r="N227" s="137" t="inlineStr">
        <is>
          <t>GOOGL</t>
        </is>
      </c>
      <c r="O227" s="156" t="n">
        <v>0.02171372261435512</v>
      </c>
      <c r="P227" s="157" t="n">
        <v>349.088</v>
      </c>
      <c r="Q227" s="146" t="n">
        <v>0</v>
      </c>
      <c r="R227" s="146" t="inlineStr"/>
      <c r="S227" s="142" t="inlineStr"/>
      <c r="T227" s="142" t="inlineStr">
        <is>
          <t>กรกฎาคม 2569 — ซื้อวันที่ 21 ก.ค. 69 เวลา 21:14-21:20 น.</t>
        </is>
      </c>
      <c r="U227" s="142" t="inlineStr">
        <is>
          <t>USA STOCK HIS 2</t>
        </is>
      </c>
      <c r="V227" s="158" t="inlineStr">
        <is>
          <t>Confirmed</t>
        </is>
      </c>
      <c r="W227" s="146" t="n">
        <v>7.58</v>
      </c>
      <c r="X227" s="137" t="inlineStr">
        <is>
          <t>USD</t>
        </is>
      </c>
    </row>
    <row r="228">
      <c r="B228" s="153" t="inlineStr">
        <is>
          <t>TX-00223</t>
        </is>
      </c>
      <c r="C228" s="144" t="n">
        <v>46224</v>
      </c>
      <c r="D228" s="154" t="inlineStr"/>
      <c r="E228" s="137" t="inlineStr">
        <is>
          <t>Buy</t>
        </is>
      </c>
      <c r="F228" s="136" t="inlineStr">
        <is>
          <t>Dime FCD USD</t>
        </is>
      </c>
      <c r="G228" s="136" t="inlineStr">
        <is>
          <t>Dime US Stocks</t>
        </is>
      </c>
      <c r="H228" s="159" t="n">
        <v>4.46</v>
      </c>
      <c r="I228" s="137" t="inlineStr">
        <is>
          <t>USD</t>
        </is>
      </c>
      <c r="J228" s="155">
        <f>IFERROR(LOOKUP(2,1/(tblFX[Date]&lt;=[@Date]),tblFX[Rate]),XLOOKUP("CURRENT_FX_USDTHB",tblSettings[Key],tblSettings[Value]))</f>
        <v/>
      </c>
      <c r="K228" s="128">
        <f>H228*J228</f>
        <v/>
      </c>
      <c r="L228" s="137" t="inlineStr">
        <is>
          <t>Investment</t>
        </is>
      </c>
      <c r="M228" s="136" t="inlineStr">
        <is>
          <t>US Stocks</t>
        </is>
      </c>
      <c r="N228" s="137" t="inlineStr">
        <is>
          <t>LLY</t>
        </is>
      </c>
      <c r="O228" s="156" t="n">
        <v>0.003849958651789368</v>
      </c>
      <c r="P228" s="157" t="n">
        <v>1158.454</v>
      </c>
      <c r="Q228" s="146" t="n">
        <v>0</v>
      </c>
      <c r="R228" s="146" t="inlineStr"/>
      <c r="S228" s="142" t="inlineStr"/>
      <c r="T228" s="142" t="inlineStr">
        <is>
          <t>กรกฎาคม 2569 — ซื้อวันที่ 21 ก.ค. 69 เวลา 21:14-21:20 น.</t>
        </is>
      </c>
      <c r="U228" s="142" t="inlineStr">
        <is>
          <t>USA STOCK HIS 2</t>
        </is>
      </c>
      <c r="V228" s="158" t="inlineStr">
        <is>
          <t>Confirmed</t>
        </is>
      </c>
      <c r="W228" s="146" t="n">
        <v>4.46</v>
      </c>
      <c r="X228" s="137" t="inlineStr">
        <is>
          <t>USD</t>
        </is>
      </c>
    </row>
    <row r="229">
      <c r="B229" s="153" t="inlineStr">
        <is>
          <t>TX-00224</t>
        </is>
      </c>
      <c r="C229" s="144" t="n">
        <v>46224</v>
      </c>
      <c r="D229" s="154" t="inlineStr"/>
      <c r="E229" s="137" t="inlineStr">
        <is>
          <t>Buy</t>
        </is>
      </c>
      <c r="F229" s="136" t="inlineStr">
        <is>
          <t>Dime FCD USD</t>
        </is>
      </c>
      <c r="G229" s="136" t="inlineStr">
        <is>
          <t>Dime US Stocks</t>
        </is>
      </c>
      <c r="H229" s="159" t="n">
        <v>6.1</v>
      </c>
      <c r="I229" s="137" t="inlineStr">
        <is>
          <t>USD</t>
        </is>
      </c>
      <c r="J229" s="155">
        <f>IFERROR(LOOKUP(2,1/(tblFX[Date]&lt;=[@Date]),tblFX[Rate]),XLOOKUP("CURRENT_FX_USDTHB",tblSettings[Key],tblSettings[Value]))</f>
        <v/>
      </c>
      <c r="K229" s="128">
        <f>H229*J229</f>
        <v/>
      </c>
      <c r="L229" s="137" t="inlineStr">
        <is>
          <t>Investment</t>
        </is>
      </c>
      <c r="M229" s="136" t="inlineStr">
        <is>
          <t>US Stocks</t>
        </is>
      </c>
      <c r="N229" s="137" t="inlineStr">
        <is>
          <t>META</t>
        </is>
      </c>
      <c r="O229" s="156" t="n">
        <v>0.009442052113936159</v>
      </c>
      <c r="P229" s="157" t="n">
        <v>646.046</v>
      </c>
      <c r="Q229" s="146" t="n">
        <v>0</v>
      </c>
      <c r="R229" s="146" t="inlineStr"/>
      <c r="S229" s="142" t="inlineStr"/>
      <c r="T229" s="142" t="inlineStr">
        <is>
          <t>กรกฎาคม 2569 — ซื้อวันที่ 21 ก.ค. 69 เวลา 21:14-21:20 น.</t>
        </is>
      </c>
      <c r="U229" s="142" t="inlineStr">
        <is>
          <t>USA STOCK HIS 2</t>
        </is>
      </c>
      <c r="V229" s="158" t="inlineStr">
        <is>
          <t>Confirmed</t>
        </is>
      </c>
      <c r="W229" s="146" t="n">
        <v>6.1</v>
      </c>
      <c r="X229" s="137" t="inlineStr">
        <is>
          <t>USD</t>
        </is>
      </c>
    </row>
    <row r="230">
      <c r="B230" s="153" t="inlineStr">
        <is>
          <t>TX-00225</t>
        </is>
      </c>
      <c r="C230" s="144" t="n">
        <v>46224</v>
      </c>
      <c r="D230" s="154" t="inlineStr"/>
      <c r="E230" s="137" t="inlineStr">
        <is>
          <t>Buy</t>
        </is>
      </c>
      <c r="F230" s="136" t="inlineStr">
        <is>
          <t>Dime FCD USD</t>
        </is>
      </c>
      <c r="G230" s="136" t="inlineStr">
        <is>
          <t>Dime US Stocks</t>
        </is>
      </c>
      <c r="H230" s="159" t="n">
        <v>10.56</v>
      </c>
      <c r="I230" s="137" t="inlineStr">
        <is>
          <t>USD</t>
        </is>
      </c>
      <c r="J230" s="155">
        <f>IFERROR(LOOKUP(2,1/(tblFX[Date]&lt;=[@Date]),tblFX[Rate]),XLOOKUP("CURRENT_FX_USDTHB",tblSettings[Key],tblSettings[Value]))</f>
        <v/>
      </c>
      <c r="K230" s="128">
        <f>H230*J230</f>
        <v/>
      </c>
      <c r="L230" s="137" t="inlineStr">
        <is>
          <t>Investment</t>
        </is>
      </c>
      <c r="M230" s="136" t="inlineStr">
        <is>
          <t>US Stocks</t>
        </is>
      </c>
      <c r="N230" s="137" t="inlineStr">
        <is>
          <t>MSFT</t>
        </is>
      </c>
      <c r="O230" s="156" t="n">
        <v>0.02647824320868166</v>
      </c>
      <c r="P230" s="157" t="n">
        <v>398.818</v>
      </c>
      <c r="Q230" s="146" t="n">
        <v>0</v>
      </c>
      <c r="R230" s="146" t="inlineStr"/>
      <c r="S230" s="142" t="inlineStr"/>
      <c r="T230" s="142" t="inlineStr">
        <is>
          <t>กรกฎาคม 2569 — ซื้อวันที่ 21 ก.ค. 69 เวลา 21:14-21:20 น.</t>
        </is>
      </c>
      <c r="U230" s="142" t="inlineStr">
        <is>
          <t>USA STOCK HIS 2</t>
        </is>
      </c>
      <c r="V230" s="158" t="inlineStr">
        <is>
          <t>Confirmed</t>
        </is>
      </c>
      <c r="W230" s="146" t="n">
        <v>10.56</v>
      </c>
      <c r="X230" s="137" t="inlineStr">
        <is>
          <t>USD</t>
        </is>
      </c>
    </row>
    <row r="231">
      <c r="B231" s="153" t="inlineStr">
        <is>
          <t>TX-00226</t>
        </is>
      </c>
      <c r="C231" s="144" t="n">
        <v>46224</v>
      </c>
      <c r="D231" s="154" t="inlineStr"/>
      <c r="E231" s="137" t="inlineStr">
        <is>
          <t>Buy</t>
        </is>
      </c>
      <c r="F231" s="136" t="inlineStr">
        <is>
          <t>Dime FCD USD</t>
        </is>
      </c>
      <c r="G231" s="136" t="inlineStr">
        <is>
          <t>Dime US Stocks</t>
        </is>
      </c>
      <c r="H231" s="159" t="n">
        <v>12.49</v>
      </c>
      <c r="I231" s="137" t="inlineStr">
        <is>
          <t>USD</t>
        </is>
      </c>
      <c r="J231" s="155">
        <f>IFERROR(LOOKUP(2,1/(tblFX[Date]&lt;=[@Date]),tblFX[Rate]),XLOOKUP("CURRENT_FX_USDTHB",tblSettings[Key],tblSettings[Value]))</f>
        <v/>
      </c>
      <c r="K231" s="128">
        <f>H231*J231</f>
        <v/>
      </c>
      <c r="L231" s="137" t="inlineStr">
        <is>
          <t>Investment</t>
        </is>
      </c>
      <c r="M231" s="136" t="inlineStr">
        <is>
          <t>US Stocks</t>
        </is>
      </c>
      <c r="N231" s="137" t="inlineStr">
        <is>
          <t>NVDA</t>
        </is>
      </c>
      <c r="O231" s="156" t="n">
        <v>0.06114097179389275</v>
      </c>
      <c r="P231" s="157" t="n">
        <v>204.282</v>
      </c>
      <c r="Q231" s="146" t="n">
        <v>0</v>
      </c>
      <c r="R231" s="146" t="inlineStr"/>
      <c r="S231" s="142" t="inlineStr"/>
      <c r="T231" s="142" t="inlineStr">
        <is>
          <t>กรกฎาคม 2569 — ซื้อวันที่ 21 ก.ค. 69 เวลา 21:14-21:20 น.</t>
        </is>
      </c>
      <c r="U231" s="142" t="inlineStr">
        <is>
          <t>USA STOCK HIS 2</t>
        </is>
      </c>
      <c r="V231" s="158" t="inlineStr">
        <is>
          <t>Confirmed</t>
        </is>
      </c>
      <c r="W231" s="146" t="n">
        <v>12.49</v>
      </c>
      <c r="X231" s="137" t="inlineStr">
        <is>
          <t>USD</t>
        </is>
      </c>
    </row>
    <row r="232">
      <c r="B232" s="153" t="inlineStr">
        <is>
          <t>TX-00227</t>
        </is>
      </c>
      <c r="C232" s="144" t="n">
        <v>46224</v>
      </c>
      <c r="D232" s="154" t="inlineStr"/>
      <c r="E232" s="137" t="inlineStr">
        <is>
          <t>Buy</t>
        </is>
      </c>
      <c r="F232" s="136" t="inlineStr">
        <is>
          <t>Dime FCD USD</t>
        </is>
      </c>
      <c r="G232" s="136" t="inlineStr">
        <is>
          <t>Dime US Stocks</t>
        </is>
      </c>
      <c r="H232" s="159" t="n">
        <v>10.56</v>
      </c>
      <c r="I232" s="137" t="inlineStr">
        <is>
          <t>USD</t>
        </is>
      </c>
      <c r="J232" s="155">
        <f>IFERROR(LOOKUP(2,1/(tblFX[Date]&lt;=[@Date]),tblFX[Rate]),XLOOKUP("CURRENT_FX_USDTHB",tblSettings[Key],tblSettings[Value]))</f>
        <v/>
      </c>
      <c r="K232" s="128">
        <f>H232*J232</f>
        <v/>
      </c>
      <c r="L232" s="137" t="inlineStr">
        <is>
          <t>Investment</t>
        </is>
      </c>
      <c r="M232" s="136" t="inlineStr">
        <is>
          <t>US Stocks</t>
        </is>
      </c>
      <c r="N232" s="137" t="inlineStr">
        <is>
          <t>PRCT</t>
        </is>
      </c>
      <c r="O232" s="156" t="n">
        <v>0.5569620253164557</v>
      </c>
      <c r="P232" s="157" t="n">
        <v>18.96</v>
      </c>
      <c r="Q232" s="146" t="n">
        <v>0</v>
      </c>
      <c r="R232" s="146" t="inlineStr"/>
      <c r="S232" s="142" t="inlineStr"/>
      <c r="T232" s="142" t="inlineStr">
        <is>
          <t>กรกฎาคม 2569 — ซื้อวันที่ 21 ก.ค. 69 เวลา 21:14-21:20 น.</t>
        </is>
      </c>
      <c r="U232" s="142" t="inlineStr">
        <is>
          <t>USA STOCK HIS 2</t>
        </is>
      </c>
      <c r="V232" s="158" t="inlineStr">
        <is>
          <t>Confirmed</t>
        </is>
      </c>
      <c r="W232" s="146" t="n">
        <v>10.56</v>
      </c>
      <c r="X232" s="137" t="inlineStr">
        <is>
          <t>USD</t>
        </is>
      </c>
    </row>
    <row r="233">
      <c r="B233" s="153" t="inlineStr">
        <is>
          <t>TX-00228</t>
        </is>
      </c>
      <c r="C233" s="144" t="n">
        <v>46224</v>
      </c>
      <c r="D233" s="154" t="inlineStr"/>
      <c r="E233" s="137" t="inlineStr">
        <is>
          <t>Buy</t>
        </is>
      </c>
      <c r="F233" s="136" t="inlineStr">
        <is>
          <t>Dime FCD USD</t>
        </is>
      </c>
      <c r="G233" s="136" t="inlineStr">
        <is>
          <t>Dime US Stocks</t>
        </is>
      </c>
      <c r="H233" s="159" t="n">
        <v>2.97</v>
      </c>
      <c r="I233" s="137" t="inlineStr">
        <is>
          <t>USD</t>
        </is>
      </c>
      <c r="J233" s="155">
        <f>IFERROR(LOOKUP(2,1/(tblFX[Date]&lt;=[@Date]),tblFX[Rate]),XLOOKUP("CURRENT_FX_USDTHB",tblSettings[Key],tblSettings[Value]))</f>
        <v/>
      </c>
      <c r="K233" s="128">
        <f>H233*J233</f>
        <v/>
      </c>
      <c r="L233" s="137" t="inlineStr">
        <is>
          <t>Investment</t>
        </is>
      </c>
      <c r="M233" s="136" t="inlineStr">
        <is>
          <t>US Stocks</t>
        </is>
      </c>
      <c r="N233" s="137" t="inlineStr">
        <is>
          <t>SCHD</t>
        </is>
      </c>
      <c r="O233" s="156" t="n">
        <v>0.09058192021471272</v>
      </c>
      <c r="P233" s="157" t="n">
        <v>32.788</v>
      </c>
      <c r="Q233" s="146" t="n">
        <v>0</v>
      </c>
      <c r="R233" s="146" t="inlineStr"/>
      <c r="S233" s="142" t="inlineStr"/>
      <c r="T233" s="142" t="inlineStr">
        <is>
          <t>กรกฎาคม 2569 — ซื้อวันที่ 21 ก.ค. 69 เวลา 21:14-21:20 น.</t>
        </is>
      </c>
      <c r="U233" s="142" t="inlineStr">
        <is>
          <t>USA STOCK HIS 2</t>
        </is>
      </c>
      <c r="V233" s="158" t="inlineStr">
        <is>
          <t>Confirmed</t>
        </is>
      </c>
      <c r="W233" s="146" t="n">
        <v>2.97</v>
      </c>
      <c r="X233" s="137" t="inlineStr">
        <is>
          <t>USD</t>
        </is>
      </c>
    </row>
    <row r="234">
      <c r="B234" s="153" t="inlineStr">
        <is>
          <t>TX-00229</t>
        </is>
      </c>
      <c r="C234" s="144" t="n">
        <v>46224</v>
      </c>
      <c r="D234" s="154" t="inlineStr"/>
      <c r="E234" s="137" t="inlineStr">
        <is>
          <t>Buy</t>
        </is>
      </c>
      <c r="F234" s="136" t="inlineStr">
        <is>
          <t>Dime FCD USD</t>
        </is>
      </c>
      <c r="G234" s="136" t="inlineStr">
        <is>
          <t>Dime US Stocks</t>
        </is>
      </c>
      <c r="H234" s="159" t="n">
        <v>2.97</v>
      </c>
      <c r="I234" s="137" t="inlineStr">
        <is>
          <t>USD</t>
        </is>
      </c>
      <c r="J234" s="155">
        <f>IFERROR(LOOKUP(2,1/(tblFX[Date]&lt;=[@Date]),tblFX[Rate]),XLOOKUP("CURRENT_FX_USDTHB",tblSettings[Key],tblSettings[Value]))</f>
        <v/>
      </c>
      <c r="K234" s="128">
        <f>H234*J234</f>
        <v/>
      </c>
      <c r="L234" s="137" t="inlineStr">
        <is>
          <t>Investment</t>
        </is>
      </c>
      <c r="M234" s="136" t="inlineStr">
        <is>
          <t>US Stocks</t>
        </is>
      </c>
      <c r="N234" s="137" t="inlineStr">
        <is>
          <t>SCHG</t>
        </is>
      </c>
      <c r="O234" s="156" t="n">
        <v>0.08697434696029049</v>
      </c>
      <c r="P234" s="157" t="n">
        <v>34.148</v>
      </c>
      <c r="Q234" s="146" t="n">
        <v>0</v>
      </c>
      <c r="R234" s="146" t="inlineStr"/>
      <c r="S234" s="142" t="inlineStr"/>
      <c r="T234" s="142" t="inlineStr">
        <is>
          <t>กรกฎาคม 2569 — ซื้อวันที่ 21 ก.ค. 69 เวลา 21:14-21:20 น.</t>
        </is>
      </c>
      <c r="U234" s="142" t="inlineStr">
        <is>
          <t>USA STOCK HIS 2</t>
        </is>
      </c>
      <c r="V234" s="158" t="inlineStr">
        <is>
          <t>Confirmed</t>
        </is>
      </c>
      <c r="W234" s="146" t="n">
        <v>2.97</v>
      </c>
      <c r="X234" s="137" t="inlineStr">
        <is>
          <t>USD</t>
        </is>
      </c>
    </row>
    <row r="235">
      <c r="B235" s="153" t="inlineStr">
        <is>
          <t>TX-00230</t>
        </is>
      </c>
      <c r="C235" s="144" t="n">
        <v>46224</v>
      </c>
      <c r="D235" s="154" t="inlineStr"/>
      <c r="E235" s="137" t="inlineStr">
        <is>
          <t>Buy</t>
        </is>
      </c>
      <c r="F235" s="136" t="inlineStr">
        <is>
          <t>Dime FCD USD</t>
        </is>
      </c>
      <c r="G235" s="136" t="inlineStr">
        <is>
          <t>Dime US Stocks</t>
        </is>
      </c>
      <c r="H235" s="159" t="n">
        <v>4.46</v>
      </c>
      <c r="I235" s="137" t="inlineStr">
        <is>
          <t>USD</t>
        </is>
      </c>
      <c r="J235" s="155">
        <f>IFERROR(LOOKUP(2,1/(tblFX[Date]&lt;=[@Date]),tblFX[Rate]),XLOOKUP("CURRENT_FX_USDTHB",tblSettings[Key],tblSettings[Value]))</f>
        <v/>
      </c>
      <c r="K235" s="128">
        <f>H235*J235</f>
        <v/>
      </c>
      <c r="L235" s="137" t="inlineStr">
        <is>
          <t>Investment</t>
        </is>
      </c>
      <c r="M235" s="136" t="inlineStr">
        <is>
          <t>US Stocks</t>
        </is>
      </c>
      <c r="N235" s="137" t="inlineStr">
        <is>
          <t>V</t>
        </is>
      </c>
      <c r="O235" s="156" t="n">
        <v>0.01247126854611853</v>
      </c>
      <c r="P235" s="157" t="n">
        <v>357.622</v>
      </c>
      <c r="Q235" s="146" t="n">
        <v>0</v>
      </c>
      <c r="R235" s="146" t="inlineStr"/>
      <c r="S235" s="142" t="inlineStr"/>
      <c r="T235" s="142" t="inlineStr">
        <is>
          <t>กรกฎาคม 2569 — ซื้อวันที่ 21 ก.ค. 69 เวลา 21:14-21:20 น.</t>
        </is>
      </c>
      <c r="U235" s="142" t="inlineStr">
        <is>
          <t>USA STOCK HIS 2</t>
        </is>
      </c>
      <c r="V235" s="158" t="inlineStr">
        <is>
          <t>Confirmed</t>
        </is>
      </c>
      <c r="W235" s="146" t="n">
        <v>4.46</v>
      </c>
      <c r="X235" s="137" t="inlineStr">
        <is>
          <t>USD</t>
        </is>
      </c>
    </row>
    <row r="236">
      <c r="B236" s="153" t="inlineStr">
        <is>
          <t>TX-00231</t>
        </is>
      </c>
      <c r="C236" s="144" t="n">
        <v>46224</v>
      </c>
      <c r="D236" s="154" t="inlineStr">
        <is>
          <t>21:49:20</t>
        </is>
      </c>
      <c r="E236" s="137" t="inlineStr">
        <is>
          <t>Transfer</t>
        </is>
      </c>
      <c r="F236" s="136" t="inlineStr">
        <is>
          <t>Dime Save THB</t>
        </is>
      </c>
      <c r="G236" s="136" t="inlineStr">
        <is>
          <t>Dime FCD USD</t>
        </is>
      </c>
      <c r="H236" s="130" t="n">
        <v>2999.66</v>
      </c>
      <c r="I236" s="137" t="inlineStr">
        <is>
          <t>THB</t>
        </is>
      </c>
      <c r="J236" s="155" t="n">
        <v>1</v>
      </c>
      <c r="K236" s="128">
        <f>H236*J236</f>
        <v/>
      </c>
      <c r="L236" s="137" t="inlineStr">
        <is>
          <t>Transfer</t>
        </is>
      </c>
      <c r="M236" s="136" t="inlineStr">
        <is>
          <t>FX Conversion</t>
        </is>
      </c>
      <c r="N236" s="137" t="inlineStr"/>
      <c r="O236" s="156" t="inlineStr"/>
      <c r="P236" s="157" t="inlineStr"/>
      <c r="Q236" s="146" t="n">
        <v>0</v>
      </c>
      <c r="R236" s="146" t="inlineStr"/>
      <c r="S236" s="142" t="inlineStr"/>
      <c r="T236" s="142" t="inlineStr">
        <is>
          <t>แลก ฿2,999.66 -&gt; $88.80 @ 33.7800 | Ref FX20260721144916000kpld</t>
        </is>
      </c>
      <c r="U236" s="142" t="inlineStr">
        <is>
          <t>DIME EX</t>
        </is>
      </c>
      <c r="V236" s="158" t="inlineStr">
        <is>
          <t>Confirmed</t>
        </is>
      </c>
      <c r="W236" s="146" t="n">
        <v>88.8</v>
      </c>
      <c r="X236" s="137" t="inlineStr">
        <is>
          <t>USD</t>
        </is>
      </c>
    </row>
    <row r="237">
      <c r="B237" s="153" t="inlineStr">
        <is>
          <t>TX-00232</t>
        </is>
      </c>
      <c r="C237" s="144" t="n">
        <v>46234</v>
      </c>
      <c r="D237" s="154" t="inlineStr">
        <is>
          <t>07:10:05</t>
        </is>
      </c>
      <c r="E237" s="137" t="inlineStr">
        <is>
          <t>Transfer</t>
        </is>
      </c>
      <c r="F237" s="136" t="inlineStr">
        <is>
          <t>N/A</t>
        </is>
      </c>
      <c r="G237" s="136" t="inlineStr">
        <is>
          <t>Dime Save THB</t>
        </is>
      </c>
      <c r="H237" s="130" t="n">
        <v>4000</v>
      </c>
      <c r="I237" s="137" t="inlineStr">
        <is>
          <t>THB</t>
        </is>
      </c>
      <c r="J237" s="155" t="n">
        <v>1</v>
      </c>
      <c r="K237" s="128">
        <f>H237*J237</f>
        <v/>
      </c>
      <c r="L237" s="137" t="inlineStr">
        <is>
          <t>Transfer</t>
        </is>
      </c>
      <c r="M237" s="136" t="inlineStr">
        <is>
          <t>Incoming Funding</t>
        </is>
      </c>
      <c r="N237" s="137" t="inlineStr"/>
      <c r="O237" s="156" t="inlineStr"/>
      <c r="P237" s="157" t="inlineStr"/>
      <c r="Q237" s="146" t="n">
        <v>0</v>
      </c>
      <c r="R237" s="146" t="inlineStr"/>
      <c r="S237" s="142" t="inlineStr"/>
      <c r="T237" s="142" t="inlineStr">
        <is>
          <t>ต้นทางยังไม่ระบุในหลักฐาน — ต้องยืนยันว่าเป็นบัญชีตัวเอง (Transfer) หรือรายได้ (Income)</t>
        </is>
      </c>
      <c r="U237" s="142" t="inlineStr">
        <is>
          <t>ประวัติโยกเงิน</t>
        </is>
      </c>
      <c r="V237" s="160" t="inlineStr">
        <is>
          <t>Pending</t>
        </is>
      </c>
      <c r="W237" s="128" t="n">
        <v>4000</v>
      </c>
      <c r="X237" s="137" t="inlineStr">
        <is>
          <t>THB</t>
        </is>
      </c>
    </row>
    <row r="238">
      <c r="B238" s="153" t="inlineStr">
        <is>
          <t>TX-00233</t>
        </is>
      </c>
      <c r="C238" s="144" t="n">
        <v>46235</v>
      </c>
      <c r="D238" s="154" t="inlineStr"/>
      <c r="E238" s="137" t="inlineStr">
        <is>
          <t>PVD Contribution</t>
        </is>
      </c>
      <c r="F238" s="136" t="inlineStr">
        <is>
          <t>N/A</t>
        </is>
      </c>
      <c r="G238" s="136" t="inlineStr">
        <is>
          <t>PVD</t>
        </is>
      </c>
      <c r="H238" s="130" t="n">
        <v>5683.5</v>
      </c>
      <c r="I238" s="137" t="inlineStr">
        <is>
          <t>THB</t>
        </is>
      </c>
      <c r="J238" s="155" t="n">
        <v>1</v>
      </c>
      <c r="K238" s="128">
        <f>H238*J238</f>
        <v/>
      </c>
      <c r="L238" s="137" t="inlineStr">
        <is>
          <t>Investment</t>
        </is>
      </c>
      <c r="M238" s="136" t="inlineStr">
        <is>
          <t>PVD</t>
        </is>
      </c>
      <c r="N238" s="137" t="inlineStr">
        <is>
          <t>PVD</t>
        </is>
      </c>
      <c r="O238" s="156" t="inlineStr"/>
      <c r="P238" s="157" t="inlineStr"/>
      <c r="Q238" s="146" t="n">
        <v>0</v>
      </c>
      <c r="R238" s="146" t="inlineStr"/>
      <c r="S238" s="142" t="inlineStr">
        <is>
          <t>PVD Deduction (ลดหย่อนภาษี)</t>
        </is>
      </c>
      <c r="T238" s="142" t="inlineStr">
        <is>
          <t>เงินสะสมพนักงาน (หักจากเงินเดือนก่อนเข้าบัญชี) — สิงหาคม 2569</t>
        </is>
      </c>
      <c r="U238" s="142" t="inlineStr">
        <is>
          <t>PVD HIS (delta)</t>
        </is>
      </c>
      <c r="V238" s="158" t="inlineStr">
        <is>
          <t>Confirmed</t>
        </is>
      </c>
      <c r="W238" s="128" t="n">
        <v>5683.5</v>
      </c>
      <c r="X238" s="137" t="inlineStr">
        <is>
          <t>THB</t>
        </is>
      </c>
    </row>
    <row r="239">
      <c r="B239" s="153" t="inlineStr">
        <is>
          <t>TX-00234</t>
        </is>
      </c>
      <c r="C239" s="144" t="n">
        <v>46235</v>
      </c>
      <c r="D239" s="154" t="inlineStr"/>
      <c r="E239" s="137" t="inlineStr">
        <is>
          <t>PVD Employer</t>
        </is>
      </c>
      <c r="F239" s="136" t="inlineStr">
        <is>
          <t>N/A</t>
        </is>
      </c>
      <c r="G239" s="136" t="inlineStr">
        <is>
          <t>PVD</t>
        </is>
      </c>
      <c r="H239" s="130" t="n">
        <v>4546.8</v>
      </c>
      <c r="I239" s="137" t="inlineStr">
        <is>
          <t>THB</t>
        </is>
      </c>
      <c r="J239" s="155" t="n">
        <v>1</v>
      </c>
      <c r="K239" s="128">
        <f>H239*J239</f>
        <v/>
      </c>
      <c r="L239" s="137" t="inlineStr">
        <is>
          <t>Investment</t>
        </is>
      </c>
      <c r="M239" s="136" t="inlineStr">
        <is>
          <t>PVD</t>
        </is>
      </c>
      <c r="N239" s="137" t="inlineStr">
        <is>
          <t>PVD</t>
        </is>
      </c>
      <c r="O239" s="156" t="inlineStr"/>
      <c r="P239" s="157" t="inlineStr"/>
      <c r="Q239" s="146" t="n">
        <v>0</v>
      </c>
      <c r="R239" s="146" t="inlineStr"/>
      <c r="S239" s="142" t="inlineStr">
        <is>
          <t>Employer Contribution (ไม่เป็นเงินได้)</t>
        </is>
      </c>
      <c r="T239" s="142" t="inlineStr">
        <is>
          <t>เงินสมทบนายจ้าง — สิงหาคม 2569</t>
        </is>
      </c>
      <c r="U239" s="142" t="inlineStr">
        <is>
          <t>PVD HIS (delta)</t>
        </is>
      </c>
      <c r="V239" s="158" t="inlineStr">
        <is>
          <t>Confirmed</t>
        </is>
      </c>
      <c r="W239" s="128" t="n">
        <v>4546.8</v>
      </c>
      <c r="X239" s="137" t="inlineStr">
        <is>
          <t>THB</t>
        </is>
      </c>
    </row>
    <row r="240">
      <c r="B240" s="153" t="inlineStr">
        <is>
          <t>TX-00235</t>
        </is>
      </c>
      <c r="C240" s="144" t="n">
        <v>46238</v>
      </c>
      <c r="D240" s="154" t="inlineStr">
        <is>
          <t>08:22:08</t>
        </is>
      </c>
      <c r="E240" s="137" t="inlineStr">
        <is>
          <t>Transfer</t>
        </is>
      </c>
      <c r="F240" s="136" t="inlineStr">
        <is>
          <t>Dime Save THB</t>
        </is>
      </c>
      <c r="G240" s="136" t="inlineStr">
        <is>
          <t>Dime FCD USD</t>
        </is>
      </c>
      <c r="H240" s="130" t="n">
        <v>3012.3</v>
      </c>
      <c r="I240" s="137" t="inlineStr">
        <is>
          <t>THB</t>
        </is>
      </c>
      <c r="J240" s="155" t="n">
        <v>1</v>
      </c>
      <c r="K240" s="128">
        <f>H240*J240</f>
        <v/>
      </c>
      <c r="L240" s="137" t="inlineStr">
        <is>
          <t>Transfer</t>
        </is>
      </c>
      <c r="M240" s="136" t="inlineStr">
        <is>
          <t>FX Conversion</t>
        </is>
      </c>
      <c r="N240" s="137" t="inlineStr"/>
      <c r="O240" s="156" t="inlineStr"/>
      <c r="P240" s="157" t="inlineStr"/>
      <c r="Q240" s="146" t="n">
        <v>0</v>
      </c>
      <c r="R240" s="146" t="inlineStr"/>
      <c r="S240" s="142" t="inlineStr"/>
      <c r="T240" s="142" t="inlineStr">
        <is>
          <t>แลก ฿3,012.30 -&gt; $90.00 @ 33.4700</t>
        </is>
      </c>
      <c r="U240" s="142" t="inlineStr">
        <is>
          <t>DIME EX</t>
        </is>
      </c>
      <c r="V240" s="158" t="inlineStr">
        <is>
          <t>Confirmed</t>
        </is>
      </c>
      <c r="W240" s="146" t="n">
        <v>90</v>
      </c>
      <c r="X240" s="137" t="inlineStr">
        <is>
          <t>USD</t>
        </is>
      </c>
    </row>
    <row r="241">
      <c r="B241" s="153" t="inlineStr">
        <is>
          <t>TX-00236</t>
        </is>
      </c>
      <c r="C241" s="144" t="n">
        <v>46254</v>
      </c>
      <c r="D241" s="154" t="inlineStr"/>
      <c r="E241" s="137" t="inlineStr">
        <is>
          <t>Buy</t>
        </is>
      </c>
      <c r="F241" s="136" t="inlineStr">
        <is>
          <t>Dime FCD USD</t>
        </is>
      </c>
      <c r="G241" s="136" t="inlineStr">
        <is>
          <t>Dime US Stocks</t>
        </is>
      </c>
      <c r="H241" s="159" t="n">
        <v>6</v>
      </c>
      <c r="I241" s="137" t="inlineStr">
        <is>
          <t>USD</t>
        </is>
      </c>
      <c r="J241" s="155">
        <f>IFERROR(LOOKUP(2,1/(tblFX[Date]&lt;=[@Date]),tblFX[Rate]),XLOOKUP("CURRENT_FX_USDTHB",tblSettings[Key],tblSettings[Value]))</f>
        <v/>
      </c>
      <c r="K241" s="128">
        <f>H241*J241</f>
        <v/>
      </c>
      <c r="L241" s="137" t="inlineStr">
        <is>
          <t>Investment</t>
        </is>
      </c>
      <c r="M241" s="136" t="inlineStr">
        <is>
          <t>US Stocks</t>
        </is>
      </c>
      <c r="N241" s="137" t="inlineStr">
        <is>
          <t>AAPL</t>
        </is>
      </c>
      <c r="O241" s="156" t="n">
        <v>0.01895183706473948</v>
      </c>
      <c r="P241" s="157" t="n">
        <v>316.592</v>
      </c>
      <c r="Q241" s="146" t="n">
        <v>0</v>
      </c>
      <c r="R241" s="146" t="inlineStr"/>
      <c r="S241" s="142" t="inlineStr"/>
      <c r="T241" s="142" t="inlineStr">
        <is>
          <t>20 สิงหาคม 2569 — ซื้อวันที่ 20 ส.ค. 69 เวลา 21:49-21:54 น.</t>
        </is>
      </c>
      <c r="U241" s="142" t="inlineStr">
        <is>
          <t>USA STOCK HIS 2</t>
        </is>
      </c>
      <c r="V241" s="158" t="inlineStr">
        <is>
          <t>Confirmed</t>
        </is>
      </c>
      <c r="W241" s="146" t="n">
        <v>6</v>
      </c>
      <c r="X241" s="137" t="inlineStr">
        <is>
          <t>USD</t>
        </is>
      </c>
    </row>
    <row r="242">
      <c r="B242" s="153" t="inlineStr">
        <is>
          <t>TX-00237</t>
        </is>
      </c>
      <c r="C242" s="144" t="n">
        <v>46254</v>
      </c>
      <c r="D242" s="154" t="inlineStr"/>
      <c r="E242" s="137" t="inlineStr">
        <is>
          <t>Buy</t>
        </is>
      </c>
      <c r="F242" s="136" t="inlineStr">
        <is>
          <t>Dime FCD USD</t>
        </is>
      </c>
      <c r="G242" s="136" t="inlineStr">
        <is>
          <t>Dime US Stocks</t>
        </is>
      </c>
      <c r="H242" s="159" t="n">
        <v>10.5</v>
      </c>
      <c r="I242" s="137" t="inlineStr">
        <is>
          <t>USD</t>
        </is>
      </c>
      <c r="J242" s="155">
        <f>IFERROR(LOOKUP(2,1/(tblFX[Date]&lt;=[@Date]),tblFX[Rate]),XLOOKUP("CURRENT_FX_USDTHB",tblSettings[Key],tblSettings[Value]))</f>
        <v/>
      </c>
      <c r="K242" s="128">
        <f>H242*J242</f>
        <v/>
      </c>
      <c r="L242" s="137" t="inlineStr">
        <is>
          <t>Investment</t>
        </is>
      </c>
      <c r="M242" s="136" t="inlineStr">
        <is>
          <t>US Stocks</t>
        </is>
      </c>
      <c r="N242" s="137" t="inlineStr">
        <is>
          <t>AMPX</t>
        </is>
      </c>
      <c r="O242" s="156" t="n">
        <v>1.030624263839812</v>
      </c>
      <c r="P242" s="157" t="n">
        <v>10.188</v>
      </c>
      <c r="Q242" s="146" t="n">
        <v>0</v>
      </c>
      <c r="R242" s="146" t="inlineStr"/>
      <c r="S242" s="142" t="inlineStr"/>
      <c r="T242" s="142" t="inlineStr">
        <is>
          <t>20 สิงหาคม 2569 — ซื้อวันที่ 20 ส.ค. 69 เวลา 21:49-21:54 น.</t>
        </is>
      </c>
      <c r="U242" s="142" t="inlineStr">
        <is>
          <t>USA STOCK HIS 2</t>
        </is>
      </c>
      <c r="V242" s="158" t="inlineStr">
        <is>
          <t>Confirmed</t>
        </is>
      </c>
      <c r="W242" s="146" t="n">
        <v>10.5</v>
      </c>
      <c r="X242" s="137" t="inlineStr">
        <is>
          <t>USD</t>
        </is>
      </c>
    </row>
    <row r="243">
      <c r="B243" s="153" t="inlineStr">
        <is>
          <t>TX-00238</t>
        </is>
      </c>
      <c r="C243" s="144" t="n">
        <v>46254</v>
      </c>
      <c r="D243" s="154" t="inlineStr"/>
      <c r="E243" s="137" t="inlineStr">
        <is>
          <t>Buy</t>
        </is>
      </c>
      <c r="F243" s="136" t="inlineStr">
        <is>
          <t>Dime FCD USD</t>
        </is>
      </c>
      <c r="G243" s="136" t="inlineStr">
        <is>
          <t>Dime US Stocks</t>
        </is>
      </c>
      <c r="H243" s="159" t="n">
        <v>7.5</v>
      </c>
      <c r="I243" s="137" t="inlineStr">
        <is>
          <t>USD</t>
        </is>
      </c>
      <c r="J243" s="155">
        <f>IFERROR(LOOKUP(2,1/(tblFX[Date]&lt;=[@Date]),tblFX[Rate]),XLOOKUP("CURRENT_FX_USDTHB",tblSettings[Key],tblSettings[Value]))</f>
        <v/>
      </c>
      <c r="K243" s="128">
        <f>H243*J243</f>
        <v/>
      </c>
      <c r="L243" s="137" t="inlineStr">
        <is>
          <t>Investment</t>
        </is>
      </c>
      <c r="M243" s="136" t="inlineStr">
        <is>
          <t>US Stocks</t>
        </is>
      </c>
      <c r="N243" s="137" t="inlineStr">
        <is>
          <t>AMZN</t>
        </is>
      </c>
      <c r="O243" s="156" t="n">
        <v>0.02869780825272438</v>
      </c>
      <c r="P243" s="157" t="n">
        <v>261.344</v>
      </c>
      <c r="Q243" s="146" t="n">
        <v>0</v>
      </c>
      <c r="R243" s="146" t="inlineStr"/>
      <c r="S243" s="142" t="inlineStr"/>
      <c r="T243" s="142" t="inlineStr">
        <is>
          <t>20 สิงหาคม 2569 — ซื้อวันที่ 20 ส.ค. 69 เวลา 21:49-21:54 น.</t>
        </is>
      </c>
      <c r="U243" s="142" t="inlineStr">
        <is>
          <t>USA STOCK HIS 2</t>
        </is>
      </c>
      <c r="V243" s="158" t="inlineStr">
        <is>
          <t>Confirmed</t>
        </is>
      </c>
      <c r="W243" s="146" t="n">
        <v>7.5</v>
      </c>
      <c r="X243" s="137" t="inlineStr">
        <is>
          <t>USD</t>
        </is>
      </c>
    </row>
    <row r="244">
      <c r="B244" s="153" t="inlineStr">
        <is>
          <t>TX-00239</t>
        </is>
      </c>
      <c r="C244" s="144" t="n">
        <v>46254</v>
      </c>
      <c r="D244" s="154" t="inlineStr"/>
      <c r="E244" s="137" t="inlineStr">
        <is>
          <t>Buy</t>
        </is>
      </c>
      <c r="F244" s="136" t="inlineStr">
        <is>
          <t>Dime FCD USD</t>
        </is>
      </c>
      <c r="G244" s="136" t="inlineStr">
        <is>
          <t>Dime US Stocks</t>
        </is>
      </c>
      <c r="H244" s="159" t="n">
        <v>6</v>
      </c>
      <c r="I244" s="137" t="inlineStr">
        <is>
          <t>USD</t>
        </is>
      </c>
      <c r="J244" s="155">
        <f>IFERROR(LOOKUP(2,1/(tblFX[Date]&lt;=[@Date]),tblFX[Rate]),XLOOKUP("CURRENT_FX_USDTHB",tblSettings[Key],tblSettings[Value]))</f>
        <v/>
      </c>
      <c r="K244" s="128">
        <f>H244*J244</f>
        <v/>
      </c>
      <c r="L244" s="137" t="inlineStr">
        <is>
          <t>Investment</t>
        </is>
      </c>
      <c r="M244" s="136" t="inlineStr">
        <is>
          <t>US Stocks</t>
        </is>
      </c>
      <c r="N244" s="137" t="inlineStr">
        <is>
          <t>BEPC</t>
        </is>
      </c>
      <c r="O244" s="156" t="n">
        <v>0.1778937381404175</v>
      </c>
      <c r="P244" s="157" t="n">
        <v>33.728</v>
      </c>
      <c r="Q244" s="146" t="n">
        <v>0</v>
      </c>
      <c r="R244" s="146" t="inlineStr"/>
      <c r="S244" s="142" t="inlineStr"/>
      <c r="T244" s="142" t="inlineStr">
        <is>
          <t>20 สิงหาคม 2569 — ซื้อวันที่ 20 ส.ค. 69 เวลา 21:49-21:54 น.</t>
        </is>
      </c>
      <c r="U244" s="142" t="inlineStr">
        <is>
          <t>USA STOCK HIS 2</t>
        </is>
      </c>
      <c r="V244" s="158" t="inlineStr">
        <is>
          <t>Confirmed</t>
        </is>
      </c>
      <c r="W244" s="146" t="n">
        <v>6</v>
      </c>
      <c r="X244" s="137" t="inlineStr">
        <is>
          <t>USD</t>
        </is>
      </c>
    </row>
    <row r="245">
      <c r="B245" s="153" t="inlineStr">
        <is>
          <t>TX-00240</t>
        </is>
      </c>
      <c r="C245" s="144" t="n">
        <v>46254</v>
      </c>
      <c r="D245" s="154" t="inlineStr"/>
      <c r="E245" s="137" t="inlineStr">
        <is>
          <t>Buy</t>
        </is>
      </c>
      <c r="F245" s="136" t="inlineStr">
        <is>
          <t>Dime FCD USD</t>
        </is>
      </c>
      <c r="G245" s="136" t="inlineStr">
        <is>
          <t>Dime US Stocks</t>
        </is>
      </c>
      <c r="H245" s="159" t="n">
        <v>9</v>
      </c>
      <c r="I245" s="137" t="inlineStr">
        <is>
          <t>USD</t>
        </is>
      </c>
      <c r="J245" s="155">
        <f>IFERROR(LOOKUP(2,1/(tblFX[Date]&lt;=[@Date]),tblFX[Rate]),XLOOKUP("CURRENT_FX_USDTHB",tblSettings[Key],tblSettings[Value]))</f>
        <v/>
      </c>
      <c r="K245" s="128">
        <f>H245*J245</f>
        <v/>
      </c>
      <c r="L245" s="137" t="inlineStr">
        <is>
          <t>Investment</t>
        </is>
      </c>
      <c r="M245" s="136" t="inlineStr">
        <is>
          <t>US Stocks</t>
        </is>
      </c>
      <c r="N245" s="137" t="inlineStr">
        <is>
          <t>GOOGL</t>
        </is>
      </c>
      <c r="O245" s="156" t="n">
        <v>0.0263421316052895</v>
      </c>
      <c r="P245" s="157" t="n">
        <v>341.658</v>
      </c>
      <c r="Q245" s="146" t="n">
        <v>0</v>
      </c>
      <c r="R245" s="146" t="inlineStr"/>
      <c r="S245" s="142" t="inlineStr"/>
      <c r="T245" s="142" t="inlineStr">
        <is>
          <t>20 สิงหาคม 2569 — ซื้อวันที่ 20 ส.ค. 69 เวลา 21:49-21:54 น.</t>
        </is>
      </c>
      <c r="U245" s="142" t="inlineStr">
        <is>
          <t>USA STOCK HIS 2</t>
        </is>
      </c>
      <c r="V245" s="158" t="inlineStr">
        <is>
          <t>Confirmed</t>
        </is>
      </c>
      <c r="W245" s="146" t="n">
        <v>9</v>
      </c>
      <c r="X245" s="137" t="inlineStr">
        <is>
          <t>USD</t>
        </is>
      </c>
    </row>
    <row r="246">
      <c r="B246" s="153" t="inlineStr">
        <is>
          <t>TX-00241</t>
        </is>
      </c>
      <c r="C246" s="144" t="n">
        <v>46254</v>
      </c>
      <c r="D246" s="154" t="inlineStr"/>
      <c r="E246" s="137" t="inlineStr">
        <is>
          <t>Buy</t>
        </is>
      </c>
      <c r="F246" s="136" t="inlineStr">
        <is>
          <t>Dime FCD USD</t>
        </is>
      </c>
      <c r="G246" s="136" t="inlineStr">
        <is>
          <t>Dime US Stocks</t>
        </is>
      </c>
      <c r="H246" s="159" t="n">
        <v>4.5</v>
      </c>
      <c r="I246" s="137" t="inlineStr">
        <is>
          <t>USD</t>
        </is>
      </c>
      <c r="J246" s="155">
        <f>IFERROR(LOOKUP(2,1/(tblFX[Date]&lt;=[@Date]),tblFX[Rate]),XLOOKUP("CURRENT_FX_USDTHB",tblSettings[Key],tblSettings[Value]))</f>
        <v/>
      </c>
      <c r="K246" s="128">
        <f>H246*J246</f>
        <v/>
      </c>
      <c r="L246" s="137" t="inlineStr">
        <is>
          <t>Investment</t>
        </is>
      </c>
      <c r="M246" s="136" t="inlineStr">
        <is>
          <t>US Stocks</t>
        </is>
      </c>
      <c r="N246" s="137" t="inlineStr">
        <is>
          <t>LLY</t>
        </is>
      </c>
      <c r="O246" s="156" t="n">
        <v>0.003567849395527027</v>
      </c>
      <c r="P246" s="157" t="n">
        <v>1261.264</v>
      </c>
      <c r="Q246" s="146" t="n">
        <v>0</v>
      </c>
      <c r="R246" s="146" t="inlineStr"/>
      <c r="S246" s="142" t="inlineStr"/>
      <c r="T246" s="142" t="inlineStr">
        <is>
          <t>20 สิงหาคม 2569 — ซื้อวันที่ 20 ส.ค. 69 เวลา 21:49-21:54 น.</t>
        </is>
      </c>
      <c r="U246" s="142" t="inlineStr">
        <is>
          <t>USA STOCK HIS 2</t>
        </is>
      </c>
      <c r="V246" s="158" t="inlineStr">
        <is>
          <t>Confirmed</t>
        </is>
      </c>
      <c r="W246" s="146" t="n">
        <v>4.5</v>
      </c>
      <c r="X246" s="137" t="inlineStr">
        <is>
          <t>USD</t>
        </is>
      </c>
    </row>
    <row r="247">
      <c r="B247" s="153" t="inlineStr">
        <is>
          <t>TX-00242</t>
        </is>
      </c>
      <c r="C247" s="144" t="n">
        <v>46254</v>
      </c>
      <c r="D247" s="154" t="inlineStr"/>
      <c r="E247" s="137" t="inlineStr">
        <is>
          <t>Buy</t>
        </is>
      </c>
      <c r="F247" s="136" t="inlineStr">
        <is>
          <t>Dime FCD USD</t>
        </is>
      </c>
      <c r="G247" s="136" t="inlineStr">
        <is>
          <t>Dime US Stocks</t>
        </is>
      </c>
      <c r="H247" s="159" t="n">
        <v>9</v>
      </c>
      <c r="I247" s="137" t="inlineStr">
        <is>
          <t>USD</t>
        </is>
      </c>
      <c r="J247" s="155">
        <f>IFERROR(LOOKUP(2,1/(tblFX[Date]&lt;=[@Date]),tblFX[Rate]),XLOOKUP("CURRENT_FX_USDTHB",tblSettings[Key],tblSettings[Value]))</f>
        <v/>
      </c>
      <c r="K247" s="128">
        <f>H247*J247</f>
        <v/>
      </c>
      <c r="L247" s="137" t="inlineStr">
        <is>
          <t>Investment</t>
        </is>
      </c>
      <c r="M247" s="136" t="inlineStr">
        <is>
          <t>US Stocks</t>
        </is>
      </c>
      <c r="N247" s="137" t="inlineStr">
        <is>
          <t>META</t>
        </is>
      </c>
      <c r="O247" s="156" t="n">
        <v>0.0165006820281905</v>
      </c>
      <c r="P247" s="157" t="n">
        <v>545.432</v>
      </c>
      <c r="Q247" s="146" t="n">
        <v>0</v>
      </c>
      <c r="R247" s="146" t="inlineStr"/>
      <c r="S247" s="142" t="inlineStr"/>
      <c r="T247" s="142" t="inlineStr">
        <is>
          <t>20 สิงหาคม 2569 — ซื้อวันที่ 20 ส.ค. 69 เวลา 21:49-21:54 น.</t>
        </is>
      </c>
      <c r="U247" s="142" t="inlineStr">
        <is>
          <t>USA STOCK HIS 2</t>
        </is>
      </c>
      <c r="V247" s="158" t="inlineStr">
        <is>
          <t>Confirmed</t>
        </is>
      </c>
      <c r="W247" s="146" t="n">
        <v>9</v>
      </c>
      <c r="X247" s="137" t="inlineStr">
        <is>
          <t>USD</t>
        </is>
      </c>
    </row>
    <row r="248">
      <c r="B248" s="153" t="inlineStr">
        <is>
          <t>TX-00243</t>
        </is>
      </c>
      <c r="C248" s="144" t="n">
        <v>46254</v>
      </c>
      <c r="D248" s="154" t="inlineStr"/>
      <c r="E248" s="137" t="inlineStr">
        <is>
          <t>Buy</t>
        </is>
      </c>
      <c r="F248" s="136" t="inlineStr">
        <is>
          <t>Dime FCD USD</t>
        </is>
      </c>
      <c r="G248" s="136" t="inlineStr">
        <is>
          <t>Dime US Stocks</t>
        </is>
      </c>
      <c r="H248" s="159" t="n">
        <v>6</v>
      </c>
      <c r="I248" s="137" t="inlineStr">
        <is>
          <t>USD</t>
        </is>
      </c>
      <c r="J248" s="155">
        <f>IFERROR(LOOKUP(2,1/(tblFX[Date]&lt;=[@Date]),tblFX[Rate]),XLOOKUP("CURRENT_FX_USDTHB",tblSettings[Key],tblSettings[Value]))</f>
        <v/>
      </c>
      <c r="K248" s="128">
        <f>H248*J248</f>
        <v/>
      </c>
      <c r="L248" s="137" t="inlineStr">
        <is>
          <t>Investment</t>
        </is>
      </c>
      <c r="M248" s="136" t="inlineStr">
        <is>
          <t>US Stocks</t>
        </is>
      </c>
      <c r="N248" s="137" t="inlineStr">
        <is>
          <t>MSFT</t>
        </is>
      </c>
      <c r="O248" s="156" t="n">
        <v>0.01246882793017456</v>
      </c>
      <c r="P248" s="157" t="n">
        <v>481.2</v>
      </c>
      <c r="Q248" s="146" t="n">
        <v>0</v>
      </c>
      <c r="R248" s="146" t="inlineStr"/>
      <c r="S248" s="142" t="inlineStr"/>
      <c r="T248" s="142" t="inlineStr">
        <is>
          <t>20 สิงหาคม 2569 — ซื้อวันที่ 20 ส.ค. 69 เวลา 21:49-21:54 น.</t>
        </is>
      </c>
      <c r="U248" s="142" t="inlineStr">
        <is>
          <t>USA STOCK HIS 2</t>
        </is>
      </c>
      <c r="V248" s="158" t="inlineStr">
        <is>
          <t>Confirmed</t>
        </is>
      </c>
      <c r="W248" s="146" t="n">
        <v>6</v>
      </c>
      <c r="X248" s="137" t="inlineStr">
        <is>
          <t>USD</t>
        </is>
      </c>
    </row>
    <row r="249">
      <c r="B249" s="153" t="inlineStr">
        <is>
          <t>TX-00244</t>
        </is>
      </c>
      <c r="C249" s="144" t="n">
        <v>46254</v>
      </c>
      <c r="D249" s="154" t="inlineStr"/>
      <c r="E249" s="137" t="inlineStr">
        <is>
          <t>Buy</t>
        </is>
      </c>
      <c r="F249" s="136" t="inlineStr">
        <is>
          <t>Dime FCD USD</t>
        </is>
      </c>
      <c r="G249" s="136" t="inlineStr">
        <is>
          <t>Dime US Stocks</t>
        </is>
      </c>
      <c r="H249" s="159" t="n">
        <v>10.5</v>
      </c>
      <c r="I249" s="137" t="inlineStr">
        <is>
          <t>USD</t>
        </is>
      </c>
      <c r="J249" s="155">
        <f>IFERROR(LOOKUP(2,1/(tblFX[Date]&lt;=[@Date]),tblFX[Rate]),XLOOKUP("CURRENT_FX_USDTHB",tblSettings[Key],tblSettings[Value]))</f>
        <v/>
      </c>
      <c r="K249" s="128">
        <f>H249*J249</f>
        <v/>
      </c>
      <c r="L249" s="137" t="inlineStr">
        <is>
          <t>Investment</t>
        </is>
      </c>
      <c r="M249" s="136" t="inlineStr">
        <is>
          <t>US Stocks</t>
        </is>
      </c>
      <c r="N249" s="137" t="inlineStr">
        <is>
          <t>NVDA</t>
        </is>
      </c>
      <c r="O249" s="156" t="n">
        <v>0.04820848101963233</v>
      </c>
      <c r="P249" s="157" t="n">
        <v>217.804</v>
      </c>
      <c r="Q249" s="146" t="n">
        <v>0</v>
      </c>
      <c r="R249" s="146" t="inlineStr"/>
      <c r="S249" s="142" t="inlineStr"/>
      <c r="T249" s="142" t="inlineStr">
        <is>
          <t>20 สิงหาคม 2569 — ซื้อวันที่ 20 ส.ค. 69 เวลา 21:49-21:54 น.</t>
        </is>
      </c>
      <c r="U249" s="142" t="inlineStr">
        <is>
          <t>USA STOCK HIS 2</t>
        </is>
      </c>
      <c r="V249" s="158" t="inlineStr">
        <is>
          <t>Confirmed</t>
        </is>
      </c>
      <c r="W249" s="146" t="n">
        <v>10.5</v>
      </c>
      <c r="X249" s="137" t="inlineStr">
        <is>
          <t>USD</t>
        </is>
      </c>
    </row>
    <row r="250">
      <c r="B250" s="153" t="inlineStr">
        <is>
          <t>TX-00245</t>
        </is>
      </c>
      <c r="C250" s="144" t="n">
        <v>46254</v>
      </c>
      <c r="D250" s="154" t="inlineStr"/>
      <c r="E250" s="137" t="inlineStr">
        <is>
          <t>Buy</t>
        </is>
      </c>
      <c r="F250" s="136" t="inlineStr">
        <is>
          <t>Dime FCD USD</t>
        </is>
      </c>
      <c r="G250" s="136" t="inlineStr">
        <is>
          <t>Dime US Stocks</t>
        </is>
      </c>
      <c r="H250" s="159" t="n">
        <v>7.5</v>
      </c>
      <c r="I250" s="137" t="inlineStr">
        <is>
          <t>USD</t>
        </is>
      </c>
      <c r="J250" s="155">
        <f>IFERROR(LOOKUP(2,1/(tblFX[Date]&lt;=[@Date]),tblFX[Rate]),XLOOKUP("CURRENT_FX_USDTHB",tblSettings[Key],tblSettings[Value]))</f>
        <v/>
      </c>
      <c r="K250" s="128">
        <f>H250*J250</f>
        <v/>
      </c>
      <c r="L250" s="137" t="inlineStr">
        <is>
          <t>Investment</t>
        </is>
      </c>
      <c r="M250" s="136" t="inlineStr">
        <is>
          <t>US Stocks</t>
        </is>
      </c>
      <c r="N250" s="137" t="inlineStr">
        <is>
          <t>PRCT</t>
        </is>
      </c>
      <c r="O250" s="156" t="n">
        <v>0.3472543754051301</v>
      </c>
      <c r="P250" s="157" t="n">
        <v>21.598</v>
      </c>
      <c r="Q250" s="146" t="n">
        <v>0</v>
      </c>
      <c r="R250" s="146" t="inlineStr"/>
      <c r="S250" s="142" t="inlineStr"/>
      <c r="T250" s="142" t="inlineStr">
        <is>
          <t>20 สิงหาคม 2569 — ซื้อวันที่ 20 ส.ค. 69 เวลา 21:49-21:54 น.</t>
        </is>
      </c>
      <c r="U250" s="142" t="inlineStr">
        <is>
          <t>USA STOCK HIS 2</t>
        </is>
      </c>
      <c r="V250" s="158" t="inlineStr">
        <is>
          <t>Confirmed</t>
        </is>
      </c>
      <c r="W250" s="146" t="n">
        <v>7.5</v>
      </c>
      <c r="X250" s="137" t="inlineStr">
        <is>
          <t>USD</t>
        </is>
      </c>
    </row>
    <row r="251">
      <c r="B251" s="153" t="inlineStr">
        <is>
          <t>TX-00246</t>
        </is>
      </c>
      <c r="C251" s="144" t="n">
        <v>46254</v>
      </c>
      <c r="D251" s="154" t="inlineStr"/>
      <c r="E251" s="137" t="inlineStr">
        <is>
          <t>Buy</t>
        </is>
      </c>
      <c r="F251" s="136" t="inlineStr">
        <is>
          <t>Dime FCD USD</t>
        </is>
      </c>
      <c r="G251" s="136" t="inlineStr">
        <is>
          <t>Dime US Stocks</t>
        </is>
      </c>
      <c r="H251" s="159" t="n">
        <v>3</v>
      </c>
      <c r="I251" s="137" t="inlineStr">
        <is>
          <t>USD</t>
        </is>
      </c>
      <c r="J251" s="155">
        <f>IFERROR(LOOKUP(2,1/(tblFX[Date]&lt;=[@Date]),tblFX[Rate]),XLOOKUP("CURRENT_FX_USDTHB",tblSettings[Key],tblSettings[Value]))</f>
        <v/>
      </c>
      <c r="K251" s="128">
        <f>H251*J251</f>
        <v/>
      </c>
      <c r="L251" s="137" t="inlineStr">
        <is>
          <t>Investment</t>
        </is>
      </c>
      <c r="M251" s="136" t="inlineStr">
        <is>
          <t>US Stocks</t>
        </is>
      </c>
      <c r="N251" s="137" t="inlineStr">
        <is>
          <t>SCHD</t>
        </is>
      </c>
      <c r="O251" s="156" t="n">
        <v>0.08571918395336876</v>
      </c>
      <c r="P251" s="157" t="n">
        <v>34.998</v>
      </c>
      <c r="Q251" s="146" t="n">
        <v>0</v>
      </c>
      <c r="R251" s="146" t="inlineStr"/>
      <c r="S251" s="142" t="inlineStr"/>
      <c r="T251" s="142" t="inlineStr">
        <is>
          <t>20 สิงหาคม 2569 — ซื้อวันที่ 20 ส.ค. 69 เวลา 21:49-21:54 น.</t>
        </is>
      </c>
      <c r="U251" s="142" t="inlineStr">
        <is>
          <t>USA STOCK HIS 2</t>
        </is>
      </c>
      <c r="V251" s="158" t="inlineStr">
        <is>
          <t>Confirmed</t>
        </is>
      </c>
      <c r="W251" s="146" t="n">
        <v>3</v>
      </c>
      <c r="X251" s="137" t="inlineStr">
        <is>
          <t>USD</t>
        </is>
      </c>
    </row>
    <row r="252">
      <c r="B252" s="153" t="inlineStr">
        <is>
          <t>TX-00247</t>
        </is>
      </c>
      <c r="C252" s="144" t="n">
        <v>46254</v>
      </c>
      <c r="D252" s="154" t="inlineStr"/>
      <c r="E252" s="137" t="inlineStr">
        <is>
          <t>Buy</t>
        </is>
      </c>
      <c r="F252" s="136" t="inlineStr">
        <is>
          <t>Dime FCD USD</t>
        </is>
      </c>
      <c r="G252" s="136" t="inlineStr">
        <is>
          <t>Dime US Stocks</t>
        </is>
      </c>
      <c r="H252" s="159" t="n">
        <v>3</v>
      </c>
      <c r="I252" s="137" t="inlineStr">
        <is>
          <t>USD</t>
        </is>
      </c>
      <c r="J252" s="155">
        <f>IFERROR(LOOKUP(2,1/(tblFX[Date]&lt;=[@Date]),tblFX[Rate]),XLOOKUP("CURRENT_FX_USDTHB",tblSettings[Key],tblSettings[Value]))</f>
        <v/>
      </c>
      <c r="K252" s="128">
        <f>H252*J252</f>
        <v/>
      </c>
      <c r="L252" s="137" t="inlineStr">
        <is>
          <t>Investment</t>
        </is>
      </c>
      <c r="M252" s="136" t="inlineStr">
        <is>
          <t>US Stocks</t>
        </is>
      </c>
      <c r="N252" s="137" t="inlineStr">
        <is>
          <t>SCHG</t>
        </is>
      </c>
      <c r="O252" s="156" t="n">
        <v>0.08499065102838688</v>
      </c>
      <c r="P252" s="157" t="n">
        <v>35.298</v>
      </c>
      <c r="Q252" s="146" t="n">
        <v>0</v>
      </c>
      <c r="R252" s="146" t="inlineStr"/>
      <c r="S252" s="142" t="inlineStr"/>
      <c r="T252" s="142" t="inlineStr">
        <is>
          <t>20 สิงหาคม 2569 — ซื้อวันที่ 20 ส.ค. 69 เวลา 21:49-21:54 น.</t>
        </is>
      </c>
      <c r="U252" s="142" t="inlineStr">
        <is>
          <t>USA STOCK HIS 2</t>
        </is>
      </c>
      <c r="V252" s="158" t="inlineStr">
        <is>
          <t>Confirmed</t>
        </is>
      </c>
      <c r="W252" s="146" t="n">
        <v>3</v>
      </c>
      <c r="X252" s="137" t="inlineStr">
        <is>
          <t>USD</t>
        </is>
      </c>
    </row>
    <row r="253">
      <c r="B253" s="153" t="inlineStr">
        <is>
          <t>TX-00248</t>
        </is>
      </c>
      <c r="C253" s="144" t="n">
        <v>46254</v>
      </c>
      <c r="D253" s="154" t="inlineStr"/>
      <c r="E253" s="137" t="inlineStr">
        <is>
          <t>Buy</t>
        </is>
      </c>
      <c r="F253" s="136" t="inlineStr">
        <is>
          <t>Dime FCD USD</t>
        </is>
      </c>
      <c r="G253" s="136" t="inlineStr">
        <is>
          <t>Dime US Stocks</t>
        </is>
      </c>
      <c r="H253" s="159" t="n">
        <v>7.5</v>
      </c>
      <c r="I253" s="137" t="inlineStr">
        <is>
          <t>USD</t>
        </is>
      </c>
      <c r="J253" s="155">
        <f>IFERROR(LOOKUP(2,1/(tblFX[Date]&lt;=[@Date]),tblFX[Rate]),XLOOKUP("CURRENT_FX_USDTHB",tblSettings[Key],tblSettings[Value]))</f>
        <v/>
      </c>
      <c r="K253" s="128">
        <f>H253*J253</f>
        <v/>
      </c>
      <c r="L253" s="137" t="inlineStr">
        <is>
          <t>Investment</t>
        </is>
      </c>
      <c r="M253" s="136" t="inlineStr">
        <is>
          <t>US Stocks</t>
        </is>
      </c>
      <c r="N253" s="137" t="inlineStr">
        <is>
          <t>V</t>
        </is>
      </c>
      <c r="O253" s="156" t="n">
        <v>0.02038963227977838</v>
      </c>
      <c r="P253" s="157" t="n">
        <v>367.834</v>
      </c>
      <c r="Q253" s="146" t="n">
        <v>0</v>
      </c>
      <c r="R253" s="146" t="inlineStr"/>
      <c r="S253" s="142" t="inlineStr"/>
      <c r="T253" s="142" t="inlineStr">
        <is>
          <t>20 สิงหาคม 2569 — ซื้อวันที่ 20 ส.ค. 69 เวลา 21:49-21:54 น.</t>
        </is>
      </c>
      <c r="U253" s="142" t="inlineStr">
        <is>
          <t>USA STOCK HIS 2</t>
        </is>
      </c>
      <c r="V253" s="158" t="inlineStr">
        <is>
          <t>Confirmed</t>
        </is>
      </c>
      <c r="W253" s="146" t="n">
        <v>7.5</v>
      </c>
      <c r="X253" s="137" t="inlineStr">
        <is>
          <t>USD</t>
        </is>
      </c>
    </row>
    <row r="254">
      <c r="B254" s="153" t="inlineStr">
        <is>
          <t>TX-00249</t>
        </is>
      </c>
      <c r="C254" s="144" t="n">
        <v>46254</v>
      </c>
      <c r="D254" s="154" t="inlineStr">
        <is>
          <t>08:36:01</t>
        </is>
      </c>
      <c r="E254" s="137" t="inlineStr">
        <is>
          <t>Sell</t>
        </is>
      </c>
      <c r="F254" s="136" t="inlineStr">
        <is>
          <t>Dime Gold</t>
        </is>
      </c>
      <c r="G254" s="136" t="inlineStr">
        <is>
          <t>Dime FCD USD</t>
        </is>
      </c>
      <c r="H254" s="159" t="n">
        <v>214.58</v>
      </c>
      <c r="I254" s="137" t="inlineStr">
        <is>
          <t>USD</t>
        </is>
      </c>
      <c r="J254" s="155">
        <f>IFERROR(LOOKUP(2,1/(tblFX[Date]&lt;=[@Date]),tblFX[Rate]),XLOOKUP("CURRENT_FX_USDTHB",tblSettings[Key],tblSettings[Value]))</f>
        <v/>
      </c>
      <c r="K254" s="128">
        <f>H254*J254</f>
        <v/>
      </c>
      <c r="L254" s="137" t="inlineStr">
        <is>
          <t>Investment</t>
        </is>
      </c>
      <c r="M254" s="136" t="inlineStr">
        <is>
          <t>Gold</t>
        </is>
      </c>
      <c r="N254" s="137" t="inlineStr">
        <is>
          <t>MTS-GOLD</t>
        </is>
      </c>
      <c r="O254" s="156" t="n">
        <v>0.0477</v>
      </c>
      <c r="P254" s="157" t="n">
        <v>4498.43</v>
      </c>
      <c r="Q254" s="146" t="n">
        <v>0</v>
      </c>
      <c r="R254" s="146" t="n">
        <v>5.6772</v>
      </c>
      <c r="S254" s="142" t="inlineStr">
        <is>
          <t>Foreign Capital Gain</t>
        </is>
      </c>
      <c r="T254" s="142" t="inlineStr"/>
      <c r="U254" s="142" t="inlineStr">
        <is>
          <t>Dime app IMG_7097-7102</t>
        </is>
      </c>
      <c r="V254" s="158" t="inlineStr">
        <is>
          <t>Confirmed</t>
        </is>
      </c>
      <c r="W254" s="146" t="n">
        <v>214.58</v>
      </c>
      <c r="X254" s="137" t="inlineStr">
        <is>
          <t>USD</t>
        </is>
      </c>
    </row>
    <row r="255">
      <c r="B255" s="153" t="inlineStr">
        <is>
          <t>TX-00250</t>
        </is>
      </c>
      <c r="C255" s="144" t="n">
        <v>46265</v>
      </c>
      <c r="D255" s="154" t="inlineStr">
        <is>
          <t>07:11:48</t>
        </is>
      </c>
      <c r="E255" s="137" t="inlineStr">
        <is>
          <t>Transfer</t>
        </is>
      </c>
      <c r="F255" s="136" t="inlineStr">
        <is>
          <t>N/A</t>
        </is>
      </c>
      <c r="G255" s="136" t="inlineStr">
        <is>
          <t>Dime Save THB</t>
        </is>
      </c>
      <c r="H255" s="130" t="n">
        <v>4000</v>
      </c>
      <c r="I255" s="137" t="inlineStr">
        <is>
          <t>THB</t>
        </is>
      </c>
      <c r="J255" s="155" t="n">
        <v>1</v>
      </c>
      <c r="K255" s="128">
        <f>H255*J255</f>
        <v/>
      </c>
      <c r="L255" s="137" t="inlineStr">
        <is>
          <t>Transfer</t>
        </is>
      </c>
      <c r="M255" s="136" t="inlineStr">
        <is>
          <t>Incoming Funding</t>
        </is>
      </c>
      <c r="N255" s="137" t="inlineStr"/>
      <c r="O255" s="156" t="inlineStr"/>
      <c r="P255" s="157" t="inlineStr"/>
      <c r="Q255" s="146" t="n">
        <v>0</v>
      </c>
      <c r="R255" s="146" t="inlineStr"/>
      <c r="S255" s="142" t="inlineStr"/>
      <c r="T255" s="142" t="inlineStr">
        <is>
          <t>ต้นทางยังไม่ระบุในหลักฐาน — ต้องยืนยันว่าเป็นบัญชีตัวเอง (Transfer) หรือรายได้ (Income)</t>
        </is>
      </c>
      <c r="U255" s="142" t="inlineStr">
        <is>
          <t>ประวัติโยกเงิน</t>
        </is>
      </c>
      <c r="V255" s="160" t="inlineStr">
        <is>
          <t>Pending</t>
        </is>
      </c>
      <c r="W255" s="128" t="n">
        <v>4000</v>
      </c>
      <c r="X255" s="137" t="inlineStr">
        <is>
          <t>THB</t>
        </is>
      </c>
    </row>
    <row r="256">
      <c r="B256" s="153" t="inlineStr">
        <is>
          <t>TX-00251</t>
        </is>
      </c>
      <c r="C256" s="144" t="n">
        <v>46266</v>
      </c>
      <c r="D256" s="154" t="inlineStr"/>
      <c r="E256" s="137" t="inlineStr">
        <is>
          <t>Buy</t>
        </is>
      </c>
      <c r="F256" s="136" t="inlineStr">
        <is>
          <t>Dime FCD USD</t>
        </is>
      </c>
      <c r="G256" s="136" t="inlineStr">
        <is>
          <t>Dime US Stocks</t>
        </is>
      </c>
      <c r="H256" s="159" t="n">
        <v>7.3</v>
      </c>
      <c r="I256" s="137" t="inlineStr">
        <is>
          <t>USD</t>
        </is>
      </c>
      <c r="J256" s="155">
        <f>IFERROR(LOOKUP(2,1/(tblFX[Date]&lt;=[@Date]),tblFX[Rate]),XLOOKUP("CURRENT_FX_USDTHB",tblSettings[Key],tblSettings[Value]))</f>
        <v/>
      </c>
      <c r="K256" s="128">
        <f>H256*J256</f>
        <v/>
      </c>
      <c r="L256" s="137" t="inlineStr">
        <is>
          <t>Investment</t>
        </is>
      </c>
      <c r="M256" s="136" t="inlineStr">
        <is>
          <t>US Stocks</t>
        </is>
      </c>
      <c r="N256" s="137" t="inlineStr">
        <is>
          <t>AAPL</t>
        </is>
      </c>
      <c r="O256" s="156" t="n">
        <v>0.02244275560146585</v>
      </c>
      <c r="P256" s="157" t="n">
        <v>325.272</v>
      </c>
      <c r="Q256" s="146" t="n">
        <v>0</v>
      </c>
      <c r="R256" s="146" t="inlineStr"/>
      <c r="S256" s="142" t="inlineStr"/>
      <c r="T256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56" s="142" t="inlineStr">
        <is>
          <t>USA STOCK HIS 2</t>
        </is>
      </c>
      <c r="V256" s="158" t="inlineStr">
        <is>
          <t>Confirmed</t>
        </is>
      </c>
      <c r="W256" s="146" t="n">
        <v>7.3</v>
      </c>
      <c r="X256" s="137" t="inlineStr">
        <is>
          <t>USD</t>
        </is>
      </c>
    </row>
    <row r="257">
      <c r="B257" s="153" t="inlineStr">
        <is>
          <t>TX-00252</t>
        </is>
      </c>
      <c r="C257" s="144" t="n">
        <v>46266</v>
      </c>
      <c r="D257" s="154" t="inlineStr"/>
      <c r="E257" s="137" t="inlineStr">
        <is>
          <t>Buy</t>
        </is>
      </c>
      <c r="F257" s="136" t="inlineStr">
        <is>
          <t>Dime FCD USD</t>
        </is>
      </c>
      <c r="G257" s="136" t="inlineStr">
        <is>
          <t>Dime US Stocks</t>
        </is>
      </c>
      <c r="H257" s="159" t="n">
        <v>20</v>
      </c>
      <c r="I257" s="137" t="inlineStr">
        <is>
          <t>USD</t>
        </is>
      </c>
      <c r="J257" s="155">
        <f>IFERROR(LOOKUP(2,1/(tblFX[Date]&lt;=[@Date]),tblFX[Rate]),XLOOKUP("CURRENT_FX_USDTHB",tblSettings[Key],tblSettings[Value]))</f>
        <v/>
      </c>
      <c r="K257" s="128">
        <f>H257*J257</f>
        <v/>
      </c>
      <c r="L257" s="137" t="inlineStr">
        <is>
          <t>Investment</t>
        </is>
      </c>
      <c r="M257" s="136" t="inlineStr">
        <is>
          <t>US Stocks</t>
        </is>
      </c>
      <c r="N257" s="137" t="inlineStr">
        <is>
          <t>AMPX</t>
        </is>
      </c>
      <c r="O257" s="156" t="n">
        <v>2.096919625070771</v>
      </c>
      <c r="P257" s="157" t="n">
        <v>9.537800000000001</v>
      </c>
      <c r="Q257" s="146" t="n">
        <v>0</v>
      </c>
      <c r="R257" s="146" t="inlineStr"/>
      <c r="S257" s="142" t="inlineStr"/>
      <c r="T257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57" s="142" t="inlineStr">
        <is>
          <t>USA STOCK HIS 2</t>
        </is>
      </c>
      <c r="V257" s="158" t="inlineStr">
        <is>
          <t>Confirmed</t>
        </is>
      </c>
      <c r="W257" s="146" t="n">
        <v>20</v>
      </c>
      <c r="X257" s="137" t="inlineStr">
        <is>
          <t>USD</t>
        </is>
      </c>
    </row>
    <row r="258">
      <c r="B258" s="153" t="inlineStr">
        <is>
          <t>TX-00253</t>
        </is>
      </c>
      <c r="C258" s="144" t="n">
        <v>46266</v>
      </c>
      <c r="D258" s="154" t="inlineStr"/>
      <c r="E258" s="137" t="inlineStr">
        <is>
          <t>Buy</t>
        </is>
      </c>
      <c r="F258" s="136" t="inlineStr">
        <is>
          <t>Dime FCD USD</t>
        </is>
      </c>
      <c r="G258" s="136" t="inlineStr">
        <is>
          <t>Dime US Stocks</t>
        </is>
      </c>
      <c r="H258" s="159" t="n">
        <v>7.3</v>
      </c>
      <c r="I258" s="137" t="inlineStr">
        <is>
          <t>USD</t>
        </is>
      </c>
      <c r="J258" s="155">
        <f>IFERROR(LOOKUP(2,1/(tblFX[Date]&lt;=[@Date]),tblFX[Rate]),XLOOKUP("CURRENT_FX_USDTHB",tblSettings[Key],tblSettings[Value]))</f>
        <v/>
      </c>
      <c r="K258" s="128">
        <f>H258*J258</f>
        <v/>
      </c>
      <c r="L258" s="137" t="inlineStr">
        <is>
          <t>Investment</t>
        </is>
      </c>
      <c r="M258" s="136" t="inlineStr">
        <is>
          <t>US Stocks</t>
        </is>
      </c>
      <c r="N258" s="137" t="inlineStr">
        <is>
          <t>AMZN</t>
        </is>
      </c>
      <c r="O258" s="156" t="n">
        <v>0.02865239541875672</v>
      </c>
      <c r="P258" s="157" t="n">
        <v>254.778</v>
      </c>
      <c r="Q258" s="146" t="n">
        <v>0</v>
      </c>
      <c r="R258" s="146" t="inlineStr"/>
      <c r="S258" s="142" t="inlineStr"/>
      <c r="T258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58" s="142" t="inlineStr">
        <is>
          <t>USA STOCK HIS 2</t>
        </is>
      </c>
      <c r="V258" s="158" t="inlineStr">
        <is>
          <t>Confirmed</t>
        </is>
      </c>
      <c r="W258" s="146" t="n">
        <v>7.3</v>
      </c>
      <c r="X258" s="137" t="inlineStr">
        <is>
          <t>USD</t>
        </is>
      </c>
    </row>
    <row r="259">
      <c r="B259" s="153" t="inlineStr">
        <is>
          <t>TX-00254</t>
        </is>
      </c>
      <c r="C259" s="144" t="n">
        <v>46266</v>
      </c>
      <c r="D259" s="154" t="inlineStr"/>
      <c r="E259" s="137" t="inlineStr">
        <is>
          <t>Buy</t>
        </is>
      </c>
      <c r="F259" s="136" t="inlineStr">
        <is>
          <t>Dime FCD USD</t>
        </is>
      </c>
      <c r="G259" s="136" t="inlineStr">
        <is>
          <t>Dime US Stocks</t>
        </is>
      </c>
      <c r="H259" s="159" t="n">
        <v>5.8</v>
      </c>
      <c r="I259" s="137" t="inlineStr">
        <is>
          <t>USD</t>
        </is>
      </c>
      <c r="J259" s="155">
        <f>IFERROR(LOOKUP(2,1/(tblFX[Date]&lt;=[@Date]),tblFX[Rate]),XLOOKUP("CURRENT_FX_USDTHB",tblSettings[Key],tblSettings[Value]))</f>
        <v/>
      </c>
      <c r="K259" s="128">
        <f>H259*J259</f>
        <v/>
      </c>
      <c r="L259" s="137" t="inlineStr">
        <is>
          <t>Investment</t>
        </is>
      </c>
      <c r="M259" s="136" t="inlineStr">
        <is>
          <t>US Stocks</t>
        </is>
      </c>
      <c r="N259" s="137" t="inlineStr">
        <is>
          <t>BEPC</t>
        </is>
      </c>
      <c r="O259" s="156" t="n">
        <v>0.1832890911389205</v>
      </c>
      <c r="P259" s="157" t="n">
        <v>31.644</v>
      </c>
      <c r="Q259" s="146" t="n">
        <v>0</v>
      </c>
      <c r="R259" s="146" t="inlineStr"/>
      <c r="S259" s="142" t="inlineStr"/>
      <c r="T259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59" s="142" t="inlineStr">
        <is>
          <t>USA STOCK HIS 2</t>
        </is>
      </c>
      <c r="V259" s="158" t="inlineStr">
        <is>
          <t>Confirmed</t>
        </is>
      </c>
      <c r="W259" s="146" t="n">
        <v>5.8</v>
      </c>
      <c r="X259" s="137" t="inlineStr">
        <is>
          <t>USD</t>
        </is>
      </c>
    </row>
    <row r="260">
      <c r="B260" s="153" t="inlineStr">
        <is>
          <t>TX-00255</t>
        </is>
      </c>
      <c r="C260" s="144" t="n">
        <v>46266</v>
      </c>
      <c r="D260" s="154" t="inlineStr"/>
      <c r="E260" s="137" t="inlineStr">
        <is>
          <t>Buy</t>
        </is>
      </c>
      <c r="F260" s="136" t="inlineStr">
        <is>
          <t>Dime FCD USD</t>
        </is>
      </c>
      <c r="G260" s="136" t="inlineStr">
        <is>
          <t>Dime US Stocks</t>
        </is>
      </c>
      <c r="H260" s="159" t="n">
        <v>7.3</v>
      </c>
      <c r="I260" s="137" t="inlineStr">
        <is>
          <t>USD</t>
        </is>
      </c>
      <c r="J260" s="155">
        <f>IFERROR(LOOKUP(2,1/(tblFX[Date]&lt;=[@Date]),tblFX[Rate]),XLOOKUP("CURRENT_FX_USDTHB",tblSettings[Key],tblSettings[Value]))</f>
        <v/>
      </c>
      <c r="K260" s="128">
        <f>H260*J260</f>
        <v/>
      </c>
      <c r="L260" s="137" t="inlineStr">
        <is>
          <t>Investment</t>
        </is>
      </c>
      <c r="M260" s="136" t="inlineStr">
        <is>
          <t>US Stocks</t>
        </is>
      </c>
      <c r="N260" s="137" t="inlineStr">
        <is>
          <t>GOOGL</t>
        </is>
      </c>
      <c r="O260" s="156" t="n">
        <v>0.0216798626744041</v>
      </c>
      <c r="P260" s="157" t="n">
        <v>336.718</v>
      </c>
      <c r="Q260" s="146" t="n">
        <v>0</v>
      </c>
      <c r="R260" s="146" t="inlineStr"/>
      <c r="S260" s="142" t="inlineStr"/>
      <c r="T260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60" s="142" t="inlineStr">
        <is>
          <t>USA STOCK HIS 2</t>
        </is>
      </c>
      <c r="V260" s="158" t="inlineStr">
        <is>
          <t>Confirmed</t>
        </is>
      </c>
      <c r="W260" s="146" t="n">
        <v>7.3</v>
      </c>
      <c r="X260" s="137" t="inlineStr">
        <is>
          <t>USD</t>
        </is>
      </c>
    </row>
    <row r="261">
      <c r="B261" s="153" t="inlineStr">
        <is>
          <t>TX-00256</t>
        </is>
      </c>
      <c r="C261" s="144" t="n">
        <v>46266</v>
      </c>
      <c r="D261" s="154" t="inlineStr"/>
      <c r="E261" s="137" t="inlineStr">
        <is>
          <t>Buy</t>
        </is>
      </c>
      <c r="F261" s="136" t="inlineStr">
        <is>
          <t>Dime FCD USD</t>
        </is>
      </c>
      <c r="G261" s="136" t="inlineStr">
        <is>
          <t>Dime US Stocks</t>
        </is>
      </c>
      <c r="H261" s="159" t="n">
        <v>4.3</v>
      </c>
      <c r="I261" s="137" t="inlineStr">
        <is>
          <t>USD</t>
        </is>
      </c>
      <c r="J261" s="155">
        <f>IFERROR(LOOKUP(2,1/(tblFX[Date]&lt;=[@Date]),tblFX[Rate]),XLOOKUP("CURRENT_FX_USDTHB",tblSettings[Key],tblSettings[Value]))</f>
        <v/>
      </c>
      <c r="K261" s="128">
        <f>H261*J261</f>
        <v/>
      </c>
      <c r="L261" s="137" t="inlineStr">
        <is>
          <t>Investment</t>
        </is>
      </c>
      <c r="M261" s="136" t="inlineStr">
        <is>
          <t>US Stocks</t>
        </is>
      </c>
      <c r="N261" s="137" t="inlineStr">
        <is>
          <t>LLY</t>
        </is>
      </c>
      <c r="O261" s="156" t="n">
        <v>0.003685981782677942</v>
      </c>
      <c r="P261" s="157" t="n">
        <v>1166.582</v>
      </c>
      <c r="Q261" s="146" t="n">
        <v>0</v>
      </c>
      <c r="R261" s="146" t="inlineStr"/>
      <c r="S261" s="142" t="inlineStr"/>
      <c r="T261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61" s="142" t="inlineStr">
        <is>
          <t>USA STOCK HIS 2</t>
        </is>
      </c>
      <c r="V261" s="158" t="inlineStr">
        <is>
          <t>Confirmed</t>
        </is>
      </c>
      <c r="W261" s="146" t="n">
        <v>4.3</v>
      </c>
      <c r="X261" s="137" t="inlineStr">
        <is>
          <t>USD</t>
        </is>
      </c>
    </row>
    <row r="262">
      <c r="B262" s="153" t="inlineStr">
        <is>
          <t>TX-00257</t>
        </is>
      </c>
      <c r="C262" s="144" t="n">
        <v>46266</v>
      </c>
      <c r="D262" s="154" t="inlineStr"/>
      <c r="E262" s="137" t="inlineStr">
        <is>
          <t>Buy</t>
        </is>
      </c>
      <c r="F262" s="136" t="inlineStr">
        <is>
          <t>Dime FCD USD</t>
        </is>
      </c>
      <c r="G262" s="136" t="inlineStr">
        <is>
          <t>Dime US Stocks</t>
        </is>
      </c>
      <c r="H262" s="159" t="n">
        <v>12.1</v>
      </c>
      <c r="I262" s="137" t="inlineStr">
        <is>
          <t>USD</t>
        </is>
      </c>
      <c r="J262" s="155">
        <f>IFERROR(LOOKUP(2,1/(tblFX[Date]&lt;=[@Date]),tblFX[Rate]),XLOOKUP("CURRENT_FX_USDTHB",tblSettings[Key],tblSettings[Value]))</f>
        <v/>
      </c>
      <c r="K262" s="128">
        <f>H262*J262</f>
        <v/>
      </c>
      <c r="L262" s="137" t="inlineStr">
        <is>
          <t>Investment</t>
        </is>
      </c>
      <c r="M262" s="136" t="inlineStr">
        <is>
          <t>US Stocks</t>
        </is>
      </c>
      <c r="N262" s="137" t="inlineStr">
        <is>
          <t>META</t>
        </is>
      </c>
      <c r="O262" s="156" t="n">
        <v>0.02108204924487933</v>
      </c>
      <c r="P262" s="157" t="n">
        <v>573.948</v>
      </c>
      <c r="Q262" s="146" t="n">
        <v>0</v>
      </c>
      <c r="R262" s="146" t="inlineStr"/>
      <c r="S262" s="142" t="inlineStr"/>
      <c r="T262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62" s="142" t="inlineStr">
        <is>
          <t>USA STOCK HIS 2</t>
        </is>
      </c>
      <c r="V262" s="158" t="inlineStr">
        <is>
          <t>Confirmed</t>
        </is>
      </c>
      <c r="W262" s="146" t="n">
        <v>12.1</v>
      </c>
      <c r="X262" s="137" t="inlineStr">
        <is>
          <t>USD</t>
        </is>
      </c>
    </row>
    <row r="263">
      <c r="B263" s="153" t="inlineStr">
        <is>
          <t>TX-00258</t>
        </is>
      </c>
      <c r="C263" s="144" t="n">
        <v>46266</v>
      </c>
      <c r="D263" s="154" t="inlineStr"/>
      <c r="E263" s="137" t="inlineStr">
        <is>
          <t>Buy</t>
        </is>
      </c>
      <c r="F263" s="136" t="inlineStr">
        <is>
          <t>Dime FCD USD</t>
        </is>
      </c>
      <c r="G263" s="136" t="inlineStr">
        <is>
          <t>Dime US Stocks</t>
        </is>
      </c>
      <c r="H263" s="159" t="n">
        <v>7.3</v>
      </c>
      <c r="I263" s="137" t="inlineStr">
        <is>
          <t>USD</t>
        </is>
      </c>
      <c r="J263" s="155">
        <f>IFERROR(LOOKUP(2,1/(tblFX[Date]&lt;=[@Date]),tblFX[Rate]),XLOOKUP("CURRENT_FX_USDTHB",tblSettings[Key],tblSettings[Value]))</f>
        <v/>
      </c>
      <c r="K263" s="128">
        <f>H263*J263</f>
        <v/>
      </c>
      <c r="L263" s="137" t="inlineStr">
        <is>
          <t>Investment</t>
        </is>
      </c>
      <c r="M263" s="136" t="inlineStr">
        <is>
          <t>US Stocks</t>
        </is>
      </c>
      <c r="N263" s="137" t="inlineStr">
        <is>
          <t>MSFT</t>
        </is>
      </c>
      <c r="O263" s="156" t="n">
        <v>0.01448475925536432</v>
      </c>
      <c r="P263" s="157" t="n">
        <v>503.978</v>
      </c>
      <c r="Q263" s="146" t="n">
        <v>0</v>
      </c>
      <c r="R263" s="146" t="inlineStr"/>
      <c r="S263" s="142" t="inlineStr"/>
      <c r="T263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63" s="142" t="inlineStr">
        <is>
          <t>USA STOCK HIS 2</t>
        </is>
      </c>
      <c r="V263" s="158" t="inlineStr">
        <is>
          <t>Confirmed</t>
        </is>
      </c>
      <c r="W263" s="146" t="n">
        <v>7.3</v>
      </c>
      <c r="X263" s="137" t="inlineStr">
        <is>
          <t>USD</t>
        </is>
      </c>
    </row>
    <row r="264">
      <c r="B264" s="153" t="inlineStr">
        <is>
          <t>TX-00259</t>
        </is>
      </c>
      <c r="C264" s="144" t="n">
        <v>46266</v>
      </c>
      <c r="D264" s="154" t="inlineStr"/>
      <c r="E264" s="137" t="inlineStr">
        <is>
          <t>Buy</t>
        </is>
      </c>
      <c r="F264" s="136" t="inlineStr">
        <is>
          <t>Dime FCD USD</t>
        </is>
      </c>
      <c r="G264" s="136" t="inlineStr">
        <is>
          <t>Dime US Stocks</t>
        </is>
      </c>
      <c r="H264" s="159" t="n">
        <v>10.5</v>
      </c>
      <c r="I264" s="137" t="inlineStr">
        <is>
          <t>USD</t>
        </is>
      </c>
      <c r="J264" s="155">
        <f>IFERROR(LOOKUP(2,1/(tblFX[Date]&lt;=[@Date]),tblFX[Rate]),XLOOKUP("CURRENT_FX_USDTHB",tblSettings[Key],tblSettings[Value]))</f>
        <v/>
      </c>
      <c r="K264" s="128">
        <f>H264*J264</f>
        <v/>
      </c>
      <c r="L264" s="137" t="inlineStr">
        <is>
          <t>Investment</t>
        </is>
      </c>
      <c r="M264" s="136" t="inlineStr">
        <is>
          <t>US Stocks</t>
        </is>
      </c>
      <c r="N264" s="137" t="inlineStr">
        <is>
          <t>NVDA</t>
        </is>
      </c>
      <c r="O264" s="156" t="n">
        <v>0.04815762679215169</v>
      </c>
      <c r="P264" s="157" t="n">
        <v>218.034</v>
      </c>
      <c r="Q264" s="146" t="n">
        <v>0</v>
      </c>
      <c r="R264" s="146" t="inlineStr"/>
      <c r="S264" s="142" t="inlineStr"/>
      <c r="T264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64" s="142" t="inlineStr">
        <is>
          <t>USA STOCK HIS 2</t>
        </is>
      </c>
      <c r="V264" s="158" t="inlineStr">
        <is>
          <t>Confirmed</t>
        </is>
      </c>
      <c r="W264" s="146" t="n">
        <v>10.5</v>
      </c>
      <c r="X264" s="137" t="inlineStr">
        <is>
          <t>USD</t>
        </is>
      </c>
    </row>
    <row r="265">
      <c r="B265" s="153" t="inlineStr">
        <is>
          <t>TX-00260</t>
        </is>
      </c>
      <c r="C265" s="144" t="n">
        <v>46266</v>
      </c>
      <c r="D265" s="154" t="inlineStr"/>
      <c r="E265" s="137" t="inlineStr">
        <is>
          <t>Buy</t>
        </is>
      </c>
      <c r="F265" s="136" t="inlineStr">
        <is>
          <t>Dime FCD USD</t>
        </is>
      </c>
      <c r="G265" s="136" t="inlineStr">
        <is>
          <t>Dime US Stocks</t>
        </is>
      </c>
      <c r="H265" s="159" t="n">
        <v>4.3</v>
      </c>
      <c r="I265" s="137" t="inlineStr">
        <is>
          <t>USD</t>
        </is>
      </c>
      <c r="J265" s="155">
        <f>IFERROR(LOOKUP(2,1/(tblFX[Date]&lt;=[@Date]),tblFX[Rate]),XLOOKUP("CURRENT_FX_USDTHB",tblSettings[Key],tblSettings[Value]))</f>
        <v/>
      </c>
      <c r="K265" s="128">
        <f>H265*J265</f>
        <v/>
      </c>
      <c r="L265" s="137" t="inlineStr">
        <is>
          <t>Investment</t>
        </is>
      </c>
      <c r="M265" s="136" t="inlineStr">
        <is>
          <t>US Stocks</t>
        </is>
      </c>
      <c r="N265" s="137" t="inlineStr">
        <is>
          <t>PRCT</t>
        </is>
      </c>
      <c r="O265" s="156" t="n">
        <v>0.2074488614434581</v>
      </c>
      <c r="P265" s="157" t="n">
        <v>20.728</v>
      </c>
      <c r="Q265" s="146" t="n">
        <v>0</v>
      </c>
      <c r="R265" s="146" t="inlineStr"/>
      <c r="S265" s="142" t="inlineStr"/>
      <c r="T265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65" s="142" t="inlineStr">
        <is>
          <t>USA STOCK HIS 2</t>
        </is>
      </c>
      <c r="V265" s="158" t="inlineStr">
        <is>
          <t>Confirmed</t>
        </is>
      </c>
      <c r="W265" s="146" t="n">
        <v>4.3</v>
      </c>
      <c r="X265" s="137" t="inlineStr">
        <is>
          <t>USD</t>
        </is>
      </c>
    </row>
    <row r="266">
      <c r="B266" s="153" t="inlineStr">
        <is>
          <t>TX-00261</t>
        </is>
      </c>
      <c r="C266" s="144" t="n">
        <v>46266</v>
      </c>
      <c r="D266" s="154" t="inlineStr"/>
      <c r="E266" s="137" t="inlineStr">
        <is>
          <t>Buy</t>
        </is>
      </c>
      <c r="F266" s="136" t="inlineStr">
        <is>
          <t>Dime FCD USD</t>
        </is>
      </c>
      <c r="G266" s="136" t="inlineStr">
        <is>
          <t>Dime US Stocks</t>
        </is>
      </c>
      <c r="H266" s="159" t="n">
        <v>3</v>
      </c>
      <c r="I266" s="137" t="inlineStr">
        <is>
          <t>USD</t>
        </is>
      </c>
      <c r="J266" s="155">
        <f>IFERROR(LOOKUP(2,1/(tblFX[Date]&lt;=[@Date]),tblFX[Rate]),XLOOKUP("CURRENT_FX_USDTHB",tblSettings[Key],tblSettings[Value]))</f>
        <v/>
      </c>
      <c r="K266" s="128">
        <f>H266*J266</f>
        <v/>
      </c>
      <c r="L266" s="137" t="inlineStr">
        <is>
          <t>Investment</t>
        </is>
      </c>
      <c r="M266" s="136" t="inlineStr">
        <is>
          <t>US Stocks</t>
        </is>
      </c>
      <c r="N266" s="137" t="inlineStr">
        <is>
          <t>SCHD</t>
        </is>
      </c>
      <c r="O266" s="156" t="n">
        <v>0.08571918395336876</v>
      </c>
      <c r="P266" s="157" t="n">
        <v>34.998</v>
      </c>
      <c r="Q266" s="146" t="n">
        <v>0</v>
      </c>
      <c r="R266" s="146" t="inlineStr"/>
      <c r="S266" s="142" t="inlineStr"/>
      <c r="T266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66" s="142" t="inlineStr">
        <is>
          <t>USA STOCK HIS 2</t>
        </is>
      </c>
      <c r="V266" s="158" t="inlineStr">
        <is>
          <t>Confirmed</t>
        </is>
      </c>
      <c r="W266" s="146" t="n">
        <v>3</v>
      </c>
      <c r="X266" s="137" t="inlineStr">
        <is>
          <t>USD</t>
        </is>
      </c>
    </row>
    <row r="267">
      <c r="B267" s="153" t="inlineStr">
        <is>
          <t>TX-00262</t>
        </is>
      </c>
      <c r="C267" s="144" t="n">
        <v>46266</v>
      </c>
      <c r="D267" s="154" t="inlineStr"/>
      <c r="E267" s="137" t="inlineStr">
        <is>
          <t>Buy</t>
        </is>
      </c>
      <c r="F267" s="136" t="inlineStr">
        <is>
          <t>Dime FCD USD</t>
        </is>
      </c>
      <c r="G267" s="136" t="inlineStr">
        <is>
          <t>Dime US Stocks</t>
        </is>
      </c>
      <c r="H267" s="159" t="n">
        <v>3</v>
      </c>
      <c r="I267" s="137" t="inlineStr">
        <is>
          <t>USD</t>
        </is>
      </c>
      <c r="J267" s="155">
        <f>IFERROR(LOOKUP(2,1/(tblFX[Date]&lt;=[@Date]),tblFX[Rate]),XLOOKUP("CURRENT_FX_USDTHB",tblSettings[Key],tblSettings[Value]))</f>
        <v/>
      </c>
      <c r="K267" s="128">
        <f>H267*J267</f>
        <v/>
      </c>
      <c r="L267" s="137" t="inlineStr">
        <is>
          <t>Investment</t>
        </is>
      </c>
      <c r="M267" s="136" t="inlineStr">
        <is>
          <t>US Stocks</t>
        </is>
      </c>
      <c r="N267" s="137" t="inlineStr">
        <is>
          <t>SCHG</t>
        </is>
      </c>
      <c r="O267" s="156" t="n">
        <v>0.08463100880162491</v>
      </c>
      <c r="P267" s="157" t="n">
        <v>35.448</v>
      </c>
      <c r="Q267" s="146" t="n">
        <v>0</v>
      </c>
      <c r="R267" s="146" t="inlineStr"/>
      <c r="S267" s="142" t="inlineStr"/>
      <c r="T267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67" s="142" t="inlineStr">
        <is>
          <t>USA STOCK HIS 2</t>
        </is>
      </c>
      <c r="V267" s="158" t="inlineStr">
        <is>
          <t>Confirmed</t>
        </is>
      </c>
      <c r="W267" s="146" t="n">
        <v>3</v>
      </c>
      <c r="X267" s="137" t="inlineStr">
        <is>
          <t>USD</t>
        </is>
      </c>
    </row>
    <row r="268">
      <c r="B268" s="153" t="inlineStr">
        <is>
          <t>TX-00263</t>
        </is>
      </c>
      <c r="C268" s="144" t="n">
        <v>46266</v>
      </c>
      <c r="D268" s="154" t="inlineStr"/>
      <c r="E268" s="137" t="inlineStr">
        <is>
          <t>Buy</t>
        </is>
      </c>
      <c r="F268" s="136" t="inlineStr">
        <is>
          <t>Dime FCD USD</t>
        </is>
      </c>
      <c r="G268" s="136" t="inlineStr">
        <is>
          <t>Dime US Stocks</t>
        </is>
      </c>
      <c r="H268" s="159" t="n">
        <v>7.3</v>
      </c>
      <c r="I268" s="137" t="inlineStr">
        <is>
          <t>USD</t>
        </is>
      </c>
      <c r="J268" s="155">
        <f>IFERROR(LOOKUP(2,1/(tblFX[Date]&lt;=[@Date]),tblFX[Rate]),XLOOKUP("CURRENT_FX_USDTHB",tblSettings[Key],tblSettings[Value]))</f>
        <v/>
      </c>
      <c r="K268" s="128">
        <f>H268*J268</f>
        <v/>
      </c>
      <c r="L268" s="137" t="inlineStr">
        <is>
          <t>Investment</t>
        </is>
      </c>
      <c r="M268" s="136" t="inlineStr">
        <is>
          <t>US Stocks</t>
        </is>
      </c>
      <c r="N268" s="137" t="inlineStr">
        <is>
          <t>V</t>
        </is>
      </c>
      <c r="O268" s="156" t="n">
        <v>0.01920880763300126</v>
      </c>
      <c r="P268" s="157" t="n">
        <v>380.034</v>
      </c>
      <c r="Q268" s="146" t="n">
        <v>0</v>
      </c>
      <c r="R268" s="146" t="inlineStr"/>
      <c r="S268" s="142" t="inlineStr"/>
      <c r="T268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  <c r="U268" s="142" t="inlineStr">
        <is>
          <t>USA STOCK HIS 2</t>
        </is>
      </c>
      <c r="V268" s="158" t="inlineStr">
        <is>
          <t>Confirmed</t>
        </is>
      </c>
      <c r="W268" s="146" t="n">
        <v>7.3</v>
      </c>
      <c r="X268" s="137" t="inlineStr">
        <is>
          <t>USD</t>
        </is>
      </c>
    </row>
    <row r="269">
      <c r="B269" s="153" t="inlineStr">
        <is>
          <t>TX-00264</t>
        </is>
      </c>
      <c r="C269" s="144" t="n">
        <v>46266</v>
      </c>
      <c r="D269" s="154" t="inlineStr">
        <is>
          <t>21:31:16</t>
        </is>
      </c>
      <c r="E269" s="137" t="inlineStr">
        <is>
          <t>Transfer</t>
        </is>
      </c>
      <c r="F269" s="136" t="inlineStr">
        <is>
          <t>Dime Save THB</t>
        </is>
      </c>
      <c r="G269" s="136" t="inlineStr">
        <is>
          <t>Dime FCD USD</t>
        </is>
      </c>
      <c r="H269" s="130" t="n">
        <v>3001.5</v>
      </c>
      <c r="I269" s="137" t="inlineStr">
        <is>
          <t>THB</t>
        </is>
      </c>
      <c r="J269" s="155" t="n">
        <v>1</v>
      </c>
      <c r="K269" s="128">
        <f>H269*J269</f>
        <v/>
      </c>
      <c r="L269" s="137" t="inlineStr">
        <is>
          <t>Transfer</t>
        </is>
      </c>
      <c r="M269" s="136" t="inlineStr">
        <is>
          <t>FX Conversion</t>
        </is>
      </c>
      <c r="N269" s="137" t="inlineStr"/>
      <c r="O269" s="156" t="inlineStr"/>
      <c r="P269" s="157" t="inlineStr"/>
      <c r="Q269" s="146" t="n">
        <v>0</v>
      </c>
      <c r="R269" s="146" t="inlineStr"/>
      <c r="S269" s="142" t="inlineStr"/>
      <c r="T269" s="142" t="inlineStr">
        <is>
          <t>แลก ฿3,001.50 -&gt; $90.00 @ 33.3500</t>
        </is>
      </c>
      <c r="U269" s="142" t="inlineStr">
        <is>
          <t>DIME EX</t>
        </is>
      </c>
      <c r="V269" s="158" t="inlineStr">
        <is>
          <t>Confirmed</t>
        </is>
      </c>
      <c r="W269" s="146" t="n">
        <v>90</v>
      </c>
      <c r="X269" s="137" t="inlineStr">
        <is>
          <t>USD</t>
        </is>
      </c>
    </row>
  </sheetData>
  <autoFilter ref="B5:X269"/>
  <conditionalFormatting sqref="V6:V269">
    <cfRule type="expression" priority="1" dxfId="7">
      <formula>$V6="Pending"</formula>
    </cfRule>
  </conditionalFormatting>
  <conditionalFormatting sqref="R6:R269">
    <cfRule type="cellIs" priority="2" operator="lessThan" dxfId="6">
      <formula>0</formula>
    </cfRule>
    <cfRule type="cellIs" priority="3" operator="greaterThan" dxfId="8">
      <formula>0</formula>
    </cfRule>
  </conditionalFormatting>
  <dataValidations count="7">
    <dataValidation sqref="E6:E669" showDropDown="0" showInputMessage="0" showErrorMessage="0" allowBlank="1" errorTitle="ค่าไม่ถูกต้อง" error="ต้องเลือกจากรายการ TxType เท่านั้น" type="list" errorStyle="stop">
      <formula1>_LISTS!$B$2:$B$12</formula1>
    </dataValidation>
    <dataValidation sqref="F6:G669" showDropDown="0" showInputMessage="0" showErrorMessage="0" allowBlank="1" errorTitle="ค่าไม่ถูกต้อง" error="ต้องเลือกจากรายการ Accounts เท่านั้น" type="list" errorStyle="stop">
      <formula1>_LISTS!$A$2:$A$14</formula1>
    </dataValidation>
    <dataValidation sqref="I6:I669" showDropDown="0" showInputMessage="0" showErrorMessage="0" allowBlank="1" errorTitle="ค่าไม่ถูกต้อง" error="ต้องเลือกจากรายการ Currency เท่านั้น" type="list" errorStyle="stop">
      <formula1>_LISTS!$D$2:$D$3</formula1>
    </dataValidation>
    <dataValidation sqref="L6:L669" showDropDown="0" showInputMessage="0" showErrorMessage="0" allowBlank="1" errorTitle="ค่าไม่ถูกต้อง" error="ต้องเลือกจากรายการ CatType เท่านั้น" type="list" errorStyle="stop">
      <formula1>_LISTS!$E$2:$E$5</formula1>
    </dataValidation>
    <dataValidation sqref="M6:M669" showDropDown="0" showInputMessage="0" showErrorMessage="0" allowBlank="1" errorTitle="ค่าไม่ถูกต้อง" error="ต้องเลือกจากรายการ Category เท่านั้น" type="list" errorStyle="stop">
      <formula1>_LISTS!$F$2:$F$23</formula1>
    </dataValidation>
    <dataValidation sqref="N6:N669" showDropDown="0" showInputMessage="0" showErrorMessage="0" allowBlank="1" errorTitle="ค่าไม่ถูกต้อง" error="ต้องเลือกจากรายการ Asset เท่านั้น" type="list" errorStyle="stop">
      <formula1>_LISTS!$G$2:$G$20</formula1>
    </dataValidation>
    <dataValidation sqref="V6:V669" showDropDown="0" showInputMessage="0" showErrorMessage="0" allowBlank="1" errorTitle="ค่าไม่ถูกต้อง" error="ต้องเลือกจากรายการ Status เท่านั้น" type="list" errorStyle="stop">
      <formula1>_LISTS!$C$2:$C$4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6FEB"/>
    <outlinePr summaryBelow="1" summaryRight="1"/>
    <pageSetUpPr/>
  </sheetPr>
  <dimension ref="B2:G30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6" customWidth="1" min="3" max="3"/>
    <col width="26" customWidth="1" min="4" max="4"/>
    <col width="26" customWidth="1" min="5" max="5"/>
    <col width="12" customWidth="1" min="6" max="6"/>
    <col width="46" customWidth="1" min="7" max="7"/>
  </cols>
  <sheetData>
    <row r="2" ht="26" customHeight="1">
      <c r="B2" s="124" t="inlineStr">
        <is>
          <t>05_CATEGORIES — หมวดหมู่หลัก (Master)</t>
        </is>
      </c>
    </row>
    <row r="3" ht="14" customHeight="1">
      <c r="B3" s="125" t="inlineStr">
        <is>
          <t>ทุก Transaction ต้องเลือก Category จากตารางนี้เท่านั้น ห้ามพิมพ์อิสระ</t>
        </is>
      </c>
    </row>
    <row r="5" ht="30" customHeight="1">
      <c r="B5" s="126" t="inlineStr">
        <is>
          <t>Category ID</t>
        </is>
      </c>
      <c r="C5" s="126" t="inlineStr">
        <is>
          <t>Type</t>
        </is>
      </c>
      <c r="D5" s="126" t="inlineStr">
        <is>
          <t>Category</t>
        </is>
      </c>
      <c r="E5" s="126" t="inlineStr">
        <is>
          <t>Cash Flow Group</t>
        </is>
      </c>
      <c r="F5" s="126" t="inlineStr">
        <is>
          <t>Active</t>
        </is>
      </c>
      <c r="G5" s="126" t="inlineStr">
        <is>
          <t>Note</t>
        </is>
      </c>
    </row>
    <row r="6">
      <c r="B6" s="137" t="inlineStr">
        <is>
          <t>CAT-001</t>
        </is>
      </c>
      <c r="C6" s="137" t="inlineStr">
        <is>
          <t>Income</t>
        </is>
      </c>
      <c r="D6" s="136" t="inlineStr">
        <is>
          <t>Salary</t>
        </is>
      </c>
      <c r="E6" s="137" t="inlineStr">
        <is>
          <t>Income</t>
        </is>
      </c>
      <c r="F6" s="137" t="inlineStr">
        <is>
          <t>Yes</t>
        </is>
      </c>
      <c r="G6" s="138" t="inlineStr"/>
    </row>
    <row r="7">
      <c r="B7" s="137" t="inlineStr">
        <is>
          <t>CAT-002</t>
        </is>
      </c>
      <c r="C7" s="137" t="inlineStr">
        <is>
          <t>Income</t>
        </is>
      </c>
      <c r="D7" s="136" t="inlineStr">
        <is>
          <t>Travel Allowance</t>
        </is>
      </c>
      <c r="E7" s="137" t="inlineStr">
        <is>
          <t>Income</t>
        </is>
      </c>
      <c r="F7" s="137" t="inlineStr">
        <is>
          <t>Yes</t>
        </is>
      </c>
      <c r="G7" s="138" t="inlineStr"/>
    </row>
    <row r="8">
      <c r="B8" s="137" t="inlineStr">
        <is>
          <t>CAT-003</t>
        </is>
      </c>
      <c r="C8" s="137" t="inlineStr">
        <is>
          <t>Income</t>
        </is>
      </c>
      <c r="D8" s="136" t="inlineStr">
        <is>
          <t>Cost of Living</t>
        </is>
      </c>
      <c r="E8" s="137" t="inlineStr">
        <is>
          <t>Income</t>
        </is>
      </c>
      <c r="F8" s="137" t="inlineStr">
        <is>
          <t>Yes</t>
        </is>
      </c>
      <c r="G8" s="138" t="inlineStr"/>
    </row>
    <row r="9">
      <c r="B9" s="137" t="inlineStr">
        <is>
          <t>CAT-004</t>
        </is>
      </c>
      <c r="C9" s="137" t="inlineStr">
        <is>
          <t>Income</t>
        </is>
      </c>
      <c r="D9" s="136" t="inlineStr">
        <is>
          <t>Freelance</t>
        </is>
      </c>
      <c r="E9" s="137" t="inlineStr">
        <is>
          <t>Income</t>
        </is>
      </c>
      <c r="F9" s="137" t="inlineStr">
        <is>
          <t>Yes</t>
        </is>
      </c>
      <c r="G9" s="138" t="inlineStr"/>
    </row>
    <row r="10">
      <c r="B10" s="137" t="inlineStr">
        <is>
          <t>CAT-005</t>
        </is>
      </c>
      <c r="C10" s="137" t="inlineStr">
        <is>
          <t>Income</t>
        </is>
      </c>
      <c r="D10" s="136" t="inlineStr">
        <is>
          <t>Bonus</t>
        </is>
      </c>
      <c r="E10" s="137" t="inlineStr">
        <is>
          <t>Income</t>
        </is>
      </c>
      <c r="F10" s="137" t="inlineStr">
        <is>
          <t>Yes</t>
        </is>
      </c>
      <c r="G10" s="138" t="inlineStr"/>
    </row>
    <row r="11">
      <c r="B11" s="137" t="inlineStr">
        <is>
          <t>CAT-006</t>
        </is>
      </c>
      <c r="C11" s="137" t="inlineStr">
        <is>
          <t>Income</t>
        </is>
      </c>
      <c r="D11" s="136" t="inlineStr">
        <is>
          <t>Interest</t>
        </is>
      </c>
      <c r="E11" s="137" t="inlineStr">
        <is>
          <t>Income</t>
        </is>
      </c>
      <c r="F11" s="137" t="inlineStr">
        <is>
          <t>Yes</t>
        </is>
      </c>
      <c r="G11" s="138" t="inlineStr"/>
    </row>
    <row r="12">
      <c r="B12" s="137" t="inlineStr">
        <is>
          <t>CAT-007</t>
        </is>
      </c>
      <c r="C12" s="137" t="inlineStr">
        <is>
          <t>Income</t>
        </is>
      </c>
      <c r="D12" s="136" t="inlineStr">
        <is>
          <t>Dividend</t>
        </is>
      </c>
      <c r="E12" s="137" t="inlineStr">
        <is>
          <t>Income</t>
        </is>
      </c>
      <c r="F12" s="137" t="inlineStr">
        <is>
          <t>Yes</t>
        </is>
      </c>
      <c r="G12" s="138" t="inlineStr"/>
    </row>
    <row r="13">
      <c r="B13" s="137" t="inlineStr">
        <is>
          <t>CAT-008</t>
        </is>
      </c>
      <c r="C13" s="137" t="inlineStr">
        <is>
          <t>Income</t>
        </is>
      </c>
      <c r="D13" s="136" t="inlineStr">
        <is>
          <t>Other Income</t>
        </is>
      </c>
      <c r="E13" s="137" t="inlineStr">
        <is>
          <t>Income</t>
        </is>
      </c>
      <c r="F13" s="137" t="inlineStr">
        <is>
          <t>Yes</t>
        </is>
      </c>
      <c r="G13" s="138" t="inlineStr"/>
    </row>
    <row r="14">
      <c r="B14" s="137" t="inlineStr">
        <is>
          <t>CAT-009</t>
        </is>
      </c>
      <c r="C14" s="137" t="inlineStr">
        <is>
          <t>Expense</t>
        </is>
      </c>
      <c r="D14" s="136" t="inlineStr">
        <is>
          <t>Food</t>
        </is>
      </c>
      <c r="E14" s="137" t="inlineStr">
        <is>
          <t>Expense</t>
        </is>
      </c>
      <c r="F14" s="137" t="inlineStr">
        <is>
          <t>Yes</t>
        </is>
      </c>
      <c r="G14" s="138" t="inlineStr"/>
    </row>
    <row r="15">
      <c r="B15" s="137" t="inlineStr">
        <is>
          <t>CAT-010</t>
        </is>
      </c>
      <c r="C15" s="137" t="inlineStr">
        <is>
          <t>Expense</t>
        </is>
      </c>
      <c r="D15" s="136" t="inlineStr">
        <is>
          <t>Transportation</t>
        </is>
      </c>
      <c r="E15" s="137" t="inlineStr">
        <is>
          <t>Expense</t>
        </is>
      </c>
      <c r="F15" s="137" t="inlineStr">
        <is>
          <t>Yes</t>
        </is>
      </c>
      <c r="G15" s="138" t="inlineStr"/>
    </row>
    <row r="16">
      <c r="B16" s="137" t="inlineStr">
        <is>
          <t>CAT-011</t>
        </is>
      </c>
      <c r="C16" s="137" t="inlineStr">
        <is>
          <t>Expense</t>
        </is>
      </c>
      <c r="D16" s="136" t="inlineStr">
        <is>
          <t>Parking</t>
        </is>
      </c>
      <c r="E16" s="137" t="inlineStr">
        <is>
          <t>Expense</t>
        </is>
      </c>
      <c r="F16" s="137" t="inlineStr">
        <is>
          <t>Yes</t>
        </is>
      </c>
      <c r="G16" s="138" t="inlineStr"/>
    </row>
    <row r="17">
      <c r="B17" s="137" t="inlineStr">
        <is>
          <t>CAT-012</t>
        </is>
      </c>
      <c r="C17" s="137" t="inlineStr">
        <is>
          <t>Expense</t>
        </is>
      </c>
      <c r="D17" s="136" t="inlineStr">
        <is>
          <t>Cat</t>
        </is>
      </c>
      <c r="E17" s="137" t="inlineStr">
        <is>
          <t>Expense</t>
        </is>
      </c>
      <c r="F17" s="137" t="inlineStr">
        <is>
          <t>Yes</t>
        </is>
      </c>
      <c r="G17" s="138" t="inlineStr"/>
    </row>
    <row r="18">
      <c r="B18" s="137" t="inlineStr">
        <is>
          <t>CAT-013</t>
        </is>
      </c>
      <c r="C18" s="137" t="inlineStr">
        <is>
          <t>Expense</t>
        </is>
      </c>
      <c r="D18" s="136" t="inlineStr">
        <is>
          <t>Shopping</t>
        </is>
      </c>
      <c r="E18" s="137" t="inlineStr">
        <is>
          <t>Expense</t>
        </is>
      </c>
      <c r="F18" s="137" t="inlineStr">
        <is>
          <t>Yes</t>
        </is>
      </c>
      <c r="G18" s="138" t="inlineStr"/>
    </row>
    <row r="19">
      <c r="B19" s="137" t="inlineStr">
        <is>
          <t>CAT-014</t>
        </is>
      </c>
      <c r="C19" s="137" t="inlineStr">
        <is>
          <t>Expense</t>
        </is>
      </c>
      <c r="D19" s="136" t="inlineStr">
        <is>
          <t>Bills</t>
        </is>
      </c>
      <c r="E19" s="137" t="inlineStr">
        <is>
          <t>Expense</t>
        </is>
      </c>
      <c r="F19" s="137" t="inlineStr">
        <is>
          <t>Yes</t>
        </is>
      </c>
      <c r="G19" s="138" t="inlineStr"/>
    </row>
    <row r="20">
      <c r="B20" s="137" t="inlineStr">
        <is>
          <t>CAT-015</t>
        </is>
      </c>
      <c r="C20" s="137" t="inlineStr">
        <is>
          <t>Expense</t>
        </is>
      </c>
      <c r="D20" s="136" t="inlineStr">
        <is>
          <t>Entertainment</t>
        </is>
      </c>
      <c r="E20" s="137" t="inlineStr">
        <is>
          <t>Expense</t>
        </is>
      </c>
      <c r="F20" s="137" t="inlineStr">
        <is>
          <t>Yes</t>
        </is>
      </c>
      <c r="G20" s="138" t="inlineStr"/>
    </row>
    <row r="21">
      <c r="B21" s="137" t="inlineStr">
        <is>
          <t>CAT-016</t>
        </is>
      </c>
      <c r="C21" s="137" t="inlineStr">
        <is>
          <t>Expense</t>
        </is>
      </c>
      <c r="D21" s="136" t="inlineStr">
        <is>
          <t>Other</t>
        </is>
      </c>
      <c r="E21" s="137" t="inlineStr">
        <is>
          <t>Expense</t>
        </is>
      </c>
      <c r="F21" s="137" t="inlineStr">
        <is>
          <t>Yes</t>
        </is>
      </c>
      <c r="G21" s="138" t="inlineStr"/>
    </row>
    <row r="22">
      <c r="B22" s="137" t="inlineStr">
        <is>
          <t>CAT-017</t>
        </is>
      </c>
      <c r="C22" s="137" t="inlineStr">
        <is>
          <t>Saving</t>
        </is>
      </c>
      <c r="D22" s="136" t="inlineStr">
        <is>
          <t>Emergency Fund</t>
        </is>
      </c>
      <c r="E22" s="137" t="inlineStr">
        <is>
          <t>Saving / Investment</t>
        </is>
      </c>
      <c r="F22" s="137" t="inlineStr">
        <is>
          <t>Yes</t>
        </is>
      </c>
      <c r="G22" s="138" t="inlineStr"/>
    </row>
    <row r="23">
      <c r="B23" s="137" t="inlineStr">
        <is>
          <t>CAT-018</t>
        </is>
      </c>
      <c r="C23" s="137" t="inlineStr">
        <is>
          <t>Saving</t>
        </is>
      </c>
      <c r="D23" s="136" t="inlineStr">
        <is>
          <t>Investment Reserve</t>
        </is>
      </c>
      <c r="E23" s="137" t="inlineStr">
        <is>
          <t>Saving / Investment</t>
        </is>
      </c>
      <c r="F23" s="137" t="inlineStr">
        <is>
          <t>Yes</t>
        </is>
      </c>
      <c r="G23" s="138" t="inlineStr"/>
    </row>
    <row r="24">
      <c r="B24" s="137" t="inlineStr">
        <is>
          <t>CAT-019</t>
        </is>
      </c>
      <c r="C24" s="137" t="inlineStr">
        <is>
          <t>Investment</t>
        </is>
      </c>
      <c r="D24" s="136" t="inlineStr">
        <is>
          <t>US Stocks</t>
        </is>
      </c>
      <c r="E24" s="137" t="inlineStr">
        <is>
          <t>Saving / Investment</t>
        </is>
      </c>
      <c r="F24" s="137" t="inlineStr">
        <is>
          <t>Yes</t>
        </is>
      </c>
      <c r="G24" s="138" t="inlineStr"/>
    </row>
    <row r="25">
      <c r="B25" s="137" t="inlineStr">
        <is>
          <t>CAT-020</t>
        </is>
      </c>
      <c r="C25" s="137" t="inlineStr">
        <is>
          <t>Investment</t>
        </is>
      </c>
      <c r="D25" s="136" t="inlineStr">
        <is>
          <t>SET</t>
        </is>
      </c>
      <c r="E25" s="137" t="inlineStr">
        <is>
          <t>Saving / Investment</t>
        </is>
      </c>
      <c r="F25" s="137" t="inlineStr">
        <is>
          <t>Yes</t>
        </is>
      </c>
      <c r="G25" s="138" t="inlineStr"/>
    </row>
    <row r="26">
      <c r="B26" s="137" t="inlineStr">
        <is>
          <t>CAT-021</t>
        </is>
      </c>
      <c r="C26" s="137" t="inlineStr">
        <is>
          <t>Investment</t>
        </is>
      </c>
      <c r="D26" s="136" t="inlineStr">
        <is>
          <t>Gold</t>
        </is>
      </c>
      <c r="E26" s="137" t="inlineStr">
        <is>
          <t>Saving / Investment</t>
        </is>
      </c>
      <c r="F26" s="137" t="inlineStr">
        <is>
          <t>Yes</t>
        </is>
      </c>
      <c r="G26" s="138" t="inlineStr"/>
    </row>
    <row r="27">
      <c r="B27" s="137" t="inlineStr">
        <is>
          <t>CAT-022</t>
        </is>
      </c>
      <c r="C27" s="137" t="inlineStr">
        <is>
          <t>Investment</t>
        </is>
      </c>
      <c r="D27" s="136" t="inlineStr">
        <is>
          <t>PVD</t>
        </is>
      </c>
      <c r="E27" s="137" t="inlineStr">
        <is>
          <t>Saving / Investment</t>
        </is>
      </c>
      <c r="F27" s="137" t="inlineStr">
        <is>
          <t>Yes</t>
        </is>
      </c>
      <c r="G27" s="138" t="inlineStr"/>
    </row>
    <row r="30">
      <c r="B30" s="161" t="inlineStr">
        <is>
          <t>กติกา: Transfer ระหว่างบัญชีของตัวเอง ไม่นับเป็น Income และไม่นับเป็น Expense — ใช้ Type = Transfer เท่านั้น (ดู 04_TRANSACTIONS)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B2:T25"/>
  <sheetViews>
    <sheetView showGridLines="0" tabSelected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9" customWidth="1" min="4" max="4"/>
    <col width="17" customWidth="1" min="5" max="5"/>
    <col width="15" customWidth="1" min="6" max="6"/>
    <col width="13" customWidth="1" min="7" max="7"/>
    <col width="13" customWidth="1" min="8" max="8"/>
    <col width="13" customWidth="1" min="9" max="9"/>
    <col width="14" customWidth="1" min="10" max="10"/>
    <col width="15" customWidth="1" min="11" max="11"/>
    <col width="18" customWidth="1" min="12" max="12"/>
    <col width="10" customWidth="1" min="13" max="13"/>
    <col width="16" customWidth="1" min="14" max="14"/>
    <col width="18" customWidth="1" min="15" max="15"/>
    <col width="17" customWidth="1" min="16" max="16"/>
    <col width="10" customWidth="1" min="17" max="17"/>
    <col width="12" customWidth="1" min="18" max="18"/>
    <col width="12" customWidth="1" min="19" max="19"/>
    <col width="26" customWidth="1" min="20" max="20"/>
  </cols>
  <sheetData>
    <row r="2" ht="26" customHeight="1">
      <c r="B2" s="124" t="inlineStr">
        <is>
          <t>06_INVESTMENT — พอร์ตการลงทุนปัจจุบัน</t>
        </is>
      </c>
    </row>
    <row r="3" ht="14" customHeight="1">
      <c r="B3" s="125" t="inlineStr">
        <is>
          <t>Quantity ยึดพอร์ตจริงใน Dime (Official ตามที่ยืนยัน) | Qty from TX คำนวณจาก 07_INVESTMENT_TX เพื่อให้เห็นส่วนต่าง | Current Price ดึงจาก 19_PRICE_FEED (Power Query)</t>
        </is>
      </c>
    </row>
    <row r="5" ht="30" customHeight="1">
      <c r="B5" s="126" t="inlineStr">
        <is>
          <t>Asset</t>
        </is>
      </c>
      <c r="C5" s="126" t="inlineStr">
        <is>
          <t>Market</t>
        </is>
      </c>
      <c r="D5" s="126" t="inlineStr">
        <is>
          <t>Currency</t>
        </is>
      </c>
      <c r="E5" s="126" t="inlineStr">
        <is>
          <t>Quantity (Official)</t>
        </is>
      </c>
      <c r="F5" s="126" t="inlineStr">
        <is>
          <t>Qty from TX</t>
        </is>
      </c>
      <c r="G5" s="126" t="inlineStr">
        <is>
          <t>Qty Diff</t>
        </is>
      </c>
      <c r="H5" s="126" t="inlineStr">
        <is>
          <t>Average Cost</t>
        </is>
      </c>
      <c r="I5" s="126" t="inlineStr">
        <is>
          <t>Cost Basis</t>
        </is>
      </c>
      <c r="J5" s="126" t="inlineStr">
        <is>
          <t>Current Price</t>
        </is>
      </c>
      <c r="K5" s="126" t="inlineStr">
        <is>
          <t>Price Source</t>
        </is>
      </c>
      <c r="L5" s="126" t="inlineStr">
        <is>
          <t>Current Value (Local)</t>
        </is>
      </c>
      <c r="M5" s="126" t="inlineStr">
        <is>
          <t>FX Rate</t>
        </is>
      </c>
      <c r="N5" s="126" t="inlineStr">
        <is>
          <t>Cost Basis (THB)</t>
        </is>
      </c>
      <c r="O5" s="126" t="inlineStr">
        <is>
          <t>Current Value (THB)</t>
        </is>
      </c>
      <c r="P5" s="126" t="inlineStr">
        <is>
          <t>Profit/Loss (THB)</t>
        </is>
      </c>
      <c r="Q5" s="126" t="inlineStr">
        <is>
          <t>Return %</t>
        </is>
      </c>
      <c r="R5" s="126" t="inlineStr">
        <is>
          <t>Allocation %</t>
        </is>
      </c>
      <c r="S5" s="126" t="inlineStr">
        <is>
          <t>As-of Date</t>
        </is>
      </c>
      <c r="T5" s="126" t="inlineStr">
        <is>
          <t>Status</t>
        </is>
      </c>
    </row>
    <row r="6">
      <c r="B6" s="162" t="inlineStr">
        <is>
          <t>LLY</t>
        </is>
      </c>
      <c r="C6" s="137" t="inlineStr">
        <is>
          <t>US</t>
        </is>
      </c>
      <c r="D6" s="137" t="inlineStr">
        <is>
          <t>USD</t>
        </is>
      </c>
      <c r="E6" s="163" t="n">
        <v>0.4000602</v>
      </c>
      <c r="F6" s="164">
        <f>IFERROR(SUMIFS(tblInvTx[Quantity],tblInvTx[Asset],[@Asset],tblInvTx[Transaction Type],"Buy")-SUMIFS(tblInvTx[Quantity],tblInvTx[Asset],[@Asset],tblInvTx[Transaction Type],"Sell"),0)</f>
        <v/>
      </c>
      <c r="G6" s="156">
        <f>IFERROR(E6-F6,"N/A")</f>
        <v/>
      </c>
      <c r="H6" s="157" t="n">
        <v>681.48</v>
      </c>
      <c r="I6" s="146">
        <f>IFERROR(E6*H6,0)</f>
        <v/>
      </c>
      <c r="J6" s="165">
        <f>IFERROR(XLOOKUP([@Asset],tblPrice[Ticker],tblPrice[Effective Price]),0)</f>
        <v/>
      </c>
      <c r="K6" s="154">
        <f>IF(N(XLOOKUP([@Asset],tblPrice[Ticker],tblPrice[Live Price]))&gt;0,"Live (PQ)","Manual")</f>
        <v/>
      </c>
      <c r="L6" s="147">
        <f>IFERROR(E6*J6,0)</f>
        <v/>
      </c>
      <c r="M6" s="155">
        <f>XLOOKUP("CURRENT_FX_USDTHB",tblSettings[Key],tblSettings[Value])</f>
        <v/>
      </c>
      <c r="N6" s="128">
        <f>IFERROR(I6*M6,0)</f>
        <v/>
      </c>
      <c r="O6" s="140">
        <f>IFERROR(L6*M6,0)</f>
        <v/>
      </c>
      <c r="P6" s="140">
        <f>O6-N6</f>
        <v/>
      </c>
      <c r="Q6" s="166">
        <f>IFERROR(P6/N6,"N/A")</f>
        <v/>
      </c>
      <c r="R6" s="166">
        <f>IFERROR(O6/SUM($O$6:$O$22),0)</f>
        <v/>
      </c>
      <c r="S6" s="144" t="n">
        <v>46279</v>
      </c>
      <c r="T6" s="145" t="inlineStr">
        <is>
          <t>Active</t>
        </is>
      </c>
    </row>
    <row r="7">
      <c r="B7" s="162" t="inlineStr">
        <is>
          <t>AAPL</t>
        </is>
      </c>
      <c r="C7" s="137" t="inlineStr">
        <is>
          <t>US</t>
        </is>
      </c>
      <c r="D7" s="137" t="inlineStr">
        <is>
          <t>USD</t>
        </is>
      </c>
      <c r="E7" s="163" t="n">
        <v>1.1818339</v>
      </c>
      <c r="F7" s="164">
        <f>IFERROR(SUMIFS(tblInvTx[Quantity],tblInvTx[Asset],[@Asset],tblInvTx[Transaction Type],"Buy")-SUMIFS(tblInvTx[Quantity],tblInvTx[Asset],[@Asset],tblInvTx[Transaction Type],"Sell"),0)</f>
        <v/>
      </c>
      <c r="G7" s="156">
        <f>IFERROR(E7-F7,"N/A")</f>
        <v/>
      </c>
      <c r="H7" s="157" t="n">
        <v>236.46</v>
      </c>
      <c r="I7" s="146">
        <f>IFERROR(E7*H7,0)</f>
        <v/>
      </c>
      <c r="J7" s="165">
        <f>IFERROR(XLOOKUP([@Asset],tblPrice[Ticker],tblPrice[Effective Price]),0)</f>
        <v/>
      </c>
      <c r="K7" s="154">
        <f>IF(N(XLOOKUP([@Asset],tblPrice[Ticker],tblPrice[Live Price]))&gt;0,"Live (PQ)","Manual")</f>
        <v/>
      </c>
      <c r="L7" s="147">
        <f>IFERROR(E7*J7,0)</f>
        <v/>
      </c>
      <c r="M7" s="155">
        <f>XLOOKUP("CURRENT_FX_USDTHB",tblSettings[Key],tblSettings[Value])</f>
        <v/>
      </c>
      <c r="N7" s="128">
        <f>IFERROR(I7*M7,0)</f>
        <v/>
      </c>
      <c r="O7" s="140">
        <f>IFERROR(L7*M7,0)</f>
        <v/>
      </c>
      <c r="P7" s="140">
        <f>O7-N7</f>
        <v/>
      </c>
      <c r="Q7" s="166">
        <f>IFERROR(P7/N7,"N/A")</f>
        <v/>
      </c>
      <c r="R7" s="166">
        <f>IFERROR(O7/SUM($O$6:$O$22),0)</f>
        <v/>
      </c>
      <c r="S7" s="144" t="n">
        <v>46279</v>
      </c>
      <c r="T7" s="145" t="inlineStr">
        <is>
          <t>Active</t>
        </is>
      </c>
    </row>
    <row r="8">
      <c r="B8" s="162" t="inlineStr">
        <is>
          <t>MSFT</t>
        </is>
      </c>
      <c r="C8" s="137" t="inlineStr">
        <is>
          <t>US</t>
        </is>
      </c>
      <c r="D8" s="137" t="inlineStr">
        <is>
          <t>USD</t>
        </is>
      </c>
      <c r="E8" s="163" t="n">
        <v>0.892575</v>
      </c>
      <c r="F8" s="164">
        <f>IFERROR(SUMIFS(tblInvTx[Quantity],tblInvTx[Asset],[@Asset],tblInvTx[Transaction Type],"Buy")-SUMIFS(tblInvTx[Quantity],tblInvTx[Asset],[@Asset],tblInvTx[Transaction Type],"Sell"),0)</f>
        <v/>
      </c>
      <c r="G8" s="156">
        <f>IFERROR(E8-F8,"N/A")</f>
        <v/>
      </c>
      <c r="H8" s="157" t="n">
        <v>457.84</v>
      </c>
      <c r="I8" s="146">
        <f>IFERROR(E8*H8,0)</f>
        <v/>
      </c>
      <c r="J8" s="165">
        <f>IFERROR(XLOOKUP([@Asset],tblPrice[Ticker],tblPrice[Effective Price]),0)</f>
        <v/>
      </c>
      <c r="K8" s="154">
        <f>IF(N(XLOOKUP([@Asset],tblPrice[Ticker],tblPrice[Live Price]))&gt;0,"Live (PQ)","Manual")</f>
        <v/>
      </c>
      <c r="L8" s="147">
        <f>IFERROR(E8*J8,0)</f>
        <v/>
      </c>
      <c r="M8" s="155">
        <f>XLOOKUP("CURRENT_FX_USDTHB",tblSettings[Key],tblSettings[Value])</f>
        <v/>
      </c>
      <c r="N8" s="128">
        <f>IFERROR(I8*M8,0)</f>
        <v/>
      </c>
      <c r="O8" s="140">
        <f>IFERROR(L8*M8,0)</f>
        <v/>
      </c>
      <c r="P8" s="140">
        <f>O8-N8</f>
        <v/>
      </c>
      <c r="Q8" s="166">
        <f>IFERROR(P8/N8,"N/A")</f>
        <v/>
      </c>
      <c r="R8" s="166">
        <f>IFERROR(O8/SUM($O$6:$O$22),0)</f>
        <v/>
      </c>
      <c r="S8" s="144" t="n">
        <v>46279</v>
      </c>
      <c r="T8" s="145" t="inlineStr">
        <is>
          <t>Active</t>
        </is>
      </c>
    </row>
    <row r="9">
      <c r="B9" s="162" t="inlineStr">
        <is>
          <t>SCHG</t>
        </is>
      </c>
      <c r="C9" s="137" t="inlineStr">
        <is>
          <t>US</t>
        </is>
      </c>
      <c r="D9" s="137" t="inlineStr">
        <is>
          <t>USD</t>
        </is>
      </c>
      <c r="E9" s="163" t="n">
        <v>9.5251018</v>
      </c>
      <c r="F9" s="164">
        <f>IFERROR(SUMIFS(tblInvTx[Quantity],tblInvTx[Asset],[@Asset],tblInvTx[Transaction Type],"Buy")-SUMIFS(tblInvTx[Quantity],tblInvTx[Asset],[@Asset],tblInvTx[Transaction Type],"Sell"),0)</f>
        <v/>
      </c>
      <c r="G9" s="156">
        <f>IFERROR(E9-F9,"N/A")</f>
        <v/>
      </c>
      <c r="H9" s="157" t="n">
        <v>32</v>
      </c>
      <c r="I9" s="146">
        <f>IFERROR(E9*H9,0)</f>
        <v/>
      </c>
      <c r="J9" s="165">
        <f>IFERROR(XLOOKUP([@Asset],tblPrice[Ticker],tblPrice[Effective Price]),0)</f>
        <v/>
      </c>
      <c r="K9" s="154">
        <f>IF(N(XLOOKUP([@Asset],tblPrice[Ticker],tblPrice[Live Price]))&gt;0,"Live (PQ)","Manual")</f>
        <v/>
      </c>
      <c r="L9" s="147">
        <f>IFERROR(E9*J9,0)</f>
        <v/>
      </c>
      <c r="M9" s="155">
        <f>XLOOKUP("CURRENT_FX_USDTHB",tblSettings[Key],tblSettings[Value])</f>
        <v/>
      </c>
      <c r="N9" s="128">
        <f>IFERROR(I9*M9,0)</f>
        <v/>
      </c>
      <c r="O9" s="140">
        <f>IFERROR(L9*M9,0)</f>
        <v/>
      </c>
      <c r="P9" s="140">
        <f>O9-N9</f>
        <v/>
      </c>
      <c r="Q9" s="166">
        <f>IFERROR(P9/N9,"N/A")</f>
        <v/>
      </c>
      <c r="R9" s="166">
        <f>IFERROR(O9/SUM($O$6:$O$22),0)</f>
        <v/>
      </c>
      <c r="S9" s="144" t="n">
        <v>46279</v>
      </c>
      <c r="T9" s="145" t="inlineStr">
        <is>
          <t>Active</t>
        </is>
      </c>
    </row>
    <row r="10">
      <c r="B10" s="162" t="inlineStr">
        <is>
          <t>NVDA</t>
        </is>
      </c>
      <c r="C10" s="137" t="inlineStr">
        <is>
          <t>US</t>
        </is>
      </c>
      <c r="D10" s="137" t="inlineStr">
        <is>
          <t>USD</t>
        </is>
      </c>
      <c r="E10" s="163" t="n">
        <v>1.6376596</v>
      </c>
      <c r="F10" s="164">
        <f>IFERROR(SUMIFS(tblInvTx[Quantity],tblInvTx[Asset],[@Asset],tblInvTx[Transaction Type],"Buy")-SUMIFS(tblInvTx[Quantity],tblInvTx[Asset],[@Asset],tblInvTx[Transaction Type],"Sell"),0)</f>
        <v/>
      </c>
      <c r="G10" s="156">
        <f>IFERROR(E10-F10,"N/A")</f>
        <v/>
      </c>
      <c r="H10" s="157" t="n">
        <v>179.18</v>
      </c>
      <c r="I10" s="146">
        <f>IFERROR(E10*H10,0)</f>
        <v/>
      </c>
      <c r="J10" s="165">
        <f>IFERROR(XLOOKUP([@Asset],tblPrice[Ticker],tblPrice[Effective Price]),0)</f>
        <v/>
      </c>
      <c r="K10" s="154">
        <f>IF(N(XLOOKUP([@Asset],tblPrice[Ticker],tblPrice[Live Price]))&gt;0,"Live (PQ)","Manual")</f>
        <v/>
      </c>
      <c r="L10" s="147">
        <f>IFERROR(E10*J10,0)</f>
        <v/>
      </c>
      <c r="M10" s="155">
        <f>XLOOKUP("CURRENT_FX_USDTHB",tblSettings[Key],tblSettings[Value])</f>
        <v/>
      </c>
      <c r="N10" s="128">
        <f>IFERROR(I10*M10,0)</f>
        <v/>
      </c>
      <c r="O10" s="140">
        <f>IFERROR(L10*M10,0)</f>
        <v/>
      </c>
      <c r="P10" s="140">
        <f>O10-N10</f>
        <v/>
      </c>
      <c r="Q10" s="166">
        <f>IFERROR(P10/N10,"N/A")</f>
        <v/>
      </c>
      <c r="R10" s="166">
        <f>IFERROR(O10/SUM($O$6:$O$22),0)</f>
        <v/>
      </c>
      <c r="S10" s="144" t="n">
        <v>46279</v>
      </c>
      <c r="T10" s="145" t="inlineStr">
        <is>
          <t>Active</t>
        </is>
      </c>
    </row>
    <row r="11">
      <c r="B11" s="162" t="inlineStr">
        <is>
          <t>GOOGL</t>
        </is>
      </c>
      <c r="C11" s="137" t="inlineStr">
        <is>
          <t>US</t>
        </is>
      </c>
      <c r="D11" s="137" t="inlineStr">
        <is>
          <t>USD</t>
        </is>
      </c>
      <c r="E11" s="163" t="n">
        <v>0.8818294</v>
      </c>
      <c r="F11" s="164">
        <f>IFERROR(SUMIFS(tblInvTx[Quantity],tblInvTx[Asset],[@Asset],tblInvTx[Transaction Type],"Buy")-SUMIFS(tblInvTx[Quantity],tblInvTx[Asset],[@Asset],tblInvTx[Transaction Type],"Sell"),0)</f>
        <v/>
      </c>
      <c r="G11" s="156">
        <f>IFERROR(E11-F11,"N/A")</f>
        <v/>
      </c>
      <c r="H11" s="157" t="n">
        <v>268.28</v>
      </c>
      <c r="I11" s="146">
        <f>IFERROR(E11*H11,0)</f>
        <v/>
      </c>
      <c r="J11" s="165">
        <f>IFERROR(XLOOKUP([@Asset],tblPrice[Ticker],tblPrice[Effective Price]),0)</f>
        <v/>
      </c>
      <c r="K11" s="154">
        <f>IF(N(XLOOKUP([@Asset],tblPrice[Ticker],tblPrice[Live Price]))&gt;0,"Live (PQ)","Manual")</f>
        <v/>
      </c>
      <c r="L11" s="147">
        <f>IFERROR(E11*J11,0)</f>
        <v/>
      </c>
      <c r="M11" s="155">
        <f>XLOOKUP("CURRENT_FX_USDTHB",tblSettings[Key],tblSettings[Value])</f>
        <v/>
      </c>
      <c r="N11" s="128">
        <f>IFERROR(I11*M11,0)</f>
        <v/>
      </c>
      <c r="O11" s="140">
        <f>IFERROR(L11*M11,0)</f>
        <v/>
      </c>
      <c r="P11" s="140">
        <f>O11-N11</f>
        <v/>
      </c>
      <c r="Q11" s="166">
        <f>IFERROR(P11/N11,"N/A")</f>
        <v/>
      </c>
      <c r="R11" s="166">
        <f>IFERROR(O11/SUM($O$6:$O$22),0)</f>
        <v/>
      </c>
      <c r="S11" s="144" t="n">
        <v>46279</v>
      </c>
      <c r="T11" s="145" t="inlineStr">
        <is>
          <t>Active</t>
        </is>
      </c>
    </row>
    <row r="12">
      <c r="B12" s="162" t="inlineStr">
        <is>
          <t>SCHD</t>
        </is>
      </c>
      <c r="C12" s="137" t="inlineStr">
        <is>
          <t>US</t>
        </is>
      </c>
      <c r="D12" s="137" t="inlineStr">
        <is>
          <t>USD</t>
        </is>
      </c>
      <c r="E12" s="163" t="n">
        <v>9.095541600000001</v>
      </c>
      <c r="F12" s="164">
        <f>IFERROR(SUMIFS(tblInvTx[Quantity],tblInvTx[Asset],[@Asset],tblInvTx[Transaction Type],"Buy")-SUMIFS(tblInvTx[Quantity],tblInvTx[Asset],[@Asset],tblInvTx[Transaction Type],"Sell"),0)</f>
        <v/>
      </c>
      <c r="G12" s="156">
        <f>IFERROR(E12-F12,"N/A")</f>
        <v/>
      </c>
      <c r="H12" s="157" t="n">
        <v>27.87</v>
      </c>
      <c r="I12" s="146">
        <f>IFERROR(E12*H12,0)</f>
        <v/>
      </c>
      <c r="J12" s="165">
        <f>IFERROR(XLOOKUP([@Asset],tblPrice[Ticker],tblPrice[Effective Price]),0)</f>
        <v/>
      </c>
      <c r="K12" s="154">
        <f>IF(N(XLOOKUP([@Asset],tblPrice[Ticker],tblPrice[Live Price]))&gt;0,"Live (PQ)","Manual")</f>
        <v/>
      </c>
      <c r="L12" s="147">
        <f>IFERROR(E12*J12,0)</f>
        <v/>
      </c>
      <c r="M12" s="155">
        <f>XLOOKUP("CURRENT_FX_USDTHB",tblSettings[Key],tblSettings[Value])</f>
        <v/>
      </c>
      <c r="N12" s="128">
        <f>IFERROR(I12*M12,0)</f>
        <v/>
      </c>
      <c r="O12" s="140">
        <f>IFERROR(L12*M12,0)</f>
        <v/>
      </c>
      <c r="P12" s="140">
        <f>O12-N12</f>
        <v/>
      </c>
      <c r="Q12" s="166">
        <f>IFERROR(P12/N12,"N/A")</f>
        <v/>
      </c>
      <c r="R12" s="166">
        <f>IFERROR(O12/SUM($O$6:$O$22),0)</f>
        <v/>
      </c>
      <c r="S12" s="144" t="n">
        <v>46279</v>
      </c>
      <c r="T12" s="145" t="inlineStr">
        <is>
          <t>Active</t>
        </is>
      </c>
    </row>
    <row r="13">
      <c r="B13" s="162" t="inlineStr">
        <is>
          <t>AMZN</t>
        </is>
      </c>
      <c r="C13" s="137" t="inlineStr">
        <is>
          <t>US</t>
        </is>
      </c>
      <c r="D13" s="137" t="inlineStr">
        <is>
          <t>USD</t>
        </is>
      </c>
      <c r="E13" s="163" t="n">
        <v>1.1770825</v>
      </c>
      <c r="F13" s="164">
        <f>IFERROR(SUMIFS(tblInvTx[Quantity],tblInvTx[Asset],[@Asset],tblInvTx[Transaction Type],"Buy")-SUMIFS(tblInvTx[Quantity],tblInvTx[Asset],[@Asset],tblInvTx[Transaction Type],"Sell"),0)</f>
        <v/>
      </c>
      <c r="G13" s="156">
        <f>IFERROR(E13-F13,"N/A")</f>
        <v/>
      </c>
      <c r="H13" s="157" t="n">
        <v>225.59</v>
      </c>
      <c r="I13" s="146">
        <f>IFERROR(E13*H13,0)</f>
        <v/>
      </c>
      <c r="J13" s="165">
        <f>IFERROR(XLOOKUP([@Asset],tblPrice[Ticker],tblPrice[Effective Price]),0)</f>
        <v/>
      </c>
      <c r="K13" s="154">
        <f>IF(N(XLOOKUP([@Asset],tblPrice[Ticker],tblPrice[Live Price]))&gt;0,"Live (PQ)","Manual")</f>
        <v/>
      </c>
      <c r="L13" s="147">
        <f>IFERROR(E13*J13,0)</f>
        <v/>
      </c>
      <c r="M13" s="155">
        <f>XLOOKUP("CURRENT_FX_USDTHB",tblSettings[Key],tblSettings[Value])</f>
        <v/>
      </c>
      <c r="N13" s="128">
        <f>IFERROR(I13*M13,0)</f>
        <v/>
      </c>
      <c r="O13" s="140">
        <f>IFERROR(L13*M13,0)</f>
        <v/>
      </c>
      <c r="P13" s="140">
        <f>O13-N13</f>
        <v/>
      </c>
      <c r="Q13" s="166">
        <f>IFERROR(P13/N13,"N/A")</f>
        <v/>
      </c>
      <c r="R13" s="166">
        <f>IFERROR(O13/SUM($O$6:$O$22),0)</f>
        <v/>
      </c>
      <c r="S13" s="144" t="n">
        <v>46279</v>
      </c>
      <c r="T13" s="145" t="inlineStr">
        <is>
          <t>Active</t>
        </is>
      </c>
    </row>
    <row r="14">
      <c r="B14" s="162" t="inlineStr">
        <is>
          <t>META</t>
        </is>
      </c>
      <c r="C14" s="137" t="inlineStr">
        <is>
          <t>US</t>
        </is>
      </c>
      <c r="D14" s="137" t="inlineStr">
        <is>
          <t>USD</t>
        </is>
      </c>
      <c r="E14" s="163" t="n">
        <v>0.460524</v>
      </c>
      <c r="F14" s="164">
        <f>IFERROR(SUMIFS(tblInvTx[Quantity],tblInvTx[Asset],[@Asset],tblInvTx[Transaction Type],"Buy")-SUMIFS(tblInvTx[Quantity],tblInvTx[Asset],[@Asset],tblInvTx[Transaction Type],"Sell"),0)</f>
        <v/>
      </c>
      <c r="G14" s="156">
        <f>IFERROR(E14-F14,"N/A")</f>
        <v/>
      </c>
      <c r="H14" s="157" t="n">
        <v>663.09</v>
      </c>
      <c r="I14" s="146">
        <f>IFERROR(E14*H14,0)</f>
        <v/>
      </c>
      <c r="J14" s="165">
        <f>IFERROR(XLOOKUP([@Asset],tblPrice[Ticker],tblPrice[Effective Price]),0)</f>
        <v/>
      </c>
      <c r="K14" s="154">
        <f>IF(N(XLOOKUP([@Asset],tblPrice[Ticker],tblPrice[Live Price]))&gt;0,"Live (PQ)","Manual")</f>
        <v/>
      </c>
      <c r="L14" s="147">
        <f>IFERROR(E14*J14,0)</f>
        <v/>
      </c>
      <c r="M14" s="155">
        <f>XLOOKUP("CURRENT_FX_USDTHB",tblSettings[Key],tblSettings[Value])</f>
        <v/>
      </c>
      <c r="N14" s="128">
        <f>IFERROR(I14*M14,0)</f>
        <v/>
      </c>
      <c r="O14" s="140">
        <f>IFERROR(L14*M14,0)</f>
        <v/>
      </c>
      <c r="P14" s="140">
        <f>O14-N14</f>
        <v/>
      </c>
      <c r="Q14" s="166">
        <f>IFERROR(P14/N14,"N/A")</f>
        <v/>
      </c>
      <c r="R14" s="166">
        <f>IFERROR(O14/SUM($O$6:$O$22),0)</f>
        <v/>
      </c>
      <c r="S14" s="144" t="n">
        <v>46279</v>
      </c>
      <c r="T14" s="145" t="inlineStr">
        <is>
          <t>Active</t>
        </is>
      </c>
    </row>
    <row r="15">
      <c r="B15" s="162" t="inlineStr">
        <is>
          <t>BEPC</t>
        </is>
      </c>
      <c r="C15" s="137" t="inlineStr">
        <is>
          <t>US</t>
        </is>
      </c>
      <c r="D15" s="137" t="inlineStr">
        <is>
          <t>USD</t>
        </is>
      </c>
      <c r="E15" s="163" t="n">
        <v>5.2245776</v>
      </c>
      <c r="F15" s="164">
        <f>IFERROR(SUMIFS(tblInvTx[Quantity],tblInvTx[Asset],[@Asset],tblInvTx[Transaction Type],"Buy")-SUMIFS(tblInvTx[Quantity],tblInvTx[Asset],[@Asset],tblInvTx[Transaction Type],"Sell"),0)</f>
        <v/>
      </c>
      <c r="G15" s="156">
        <f>IFERROR(E15-F15,"N/A")</f>
        <v/>
      </c>
      <c r="H15" s="157" t="n">
        <v>34.7</v>
      </c>
      <c r="I15" s="146">
        <f>IFERROR(E15*H15,0)</f>
        <v/>
      </c>
      <c r="J15" s="165">
        <f>IFERROR(XLOOKUP([@Asset],tblPrice[Ticker],tblPrice[Effective Price]),0)</f>
        <v/>
      </c>
      <c r="K15" s="154">
        <f>IF(N(XLOOKUP([@Asset],tblPrice[Ticker],tblPrice[Live Price]))&gt;0,"Live (PQ)","Manual")</f>
        <v/>
      </c>
      <c r="L15" s="147">
        <f>IFERROR(E15*J15,0)</f>
        <v/>
      </c>
      <c r="M15" s="155">
        <f>XLOOKUP("CURRENT_FX_USDTHB",tblSettings[Key],tblSettings[Value])</f>
        <v/>
      </c>
      <c r="N15" s="128">
        <f>IFERROR(I15*M15,0)</f>
        <v/>
      </c>
      <c r="O15" s="140">
        <f>IFERROR(L15*M15,0)</f>
        <v/>
      </c>
      <c r="P15" s="140">
        <f>O15-N15</f>
        <v/>
      </c>
      <c r="Q15" s="166">
        <f>IFERROR(P15/N15,"N/A")</f>
        <v/>
      </c>
      <c r="R15" s="166">
        <f>IFERROR(O15/SUM($O$6:$O$22),0)</f>
        <v/>
      </c>
      <c r="S15" s="144" t="n">
        <v>46279</v>
      </c>
      <c r="T15" s="145" t="inlineStr">
        <is>
          <t>Active</t>
        </is>
      </c>
    </row>
    <row r="16">
      <c r="B16" s="162" t="inlineStr">
        <is>
          <t>V</t>
        </is>
      </c>
      <c r="C16" s="137" t="inlineStr">
        <is>
          <t>US</t>
        </is>
      </c>
      <c r="D16" s="137" t="inlineStr">
        <is>
          <t>USD</t>
        </is>
      </c>
      <c r="E16" s="163" t="n">
        <v>0.5227671</v>
      </c>
      <c r="F16" s="164">
        <f>IFERROR(SUMIFS(tblInvTx[Quantity],tblInvTx[Asset],[@Asset],tblInvTx[Transaction Type],"Buy")-SUMIFS(tblInvTx[Quantity],tblInvTx[Asset],[@Asset],tblInvTx[Transaction Type],"Sell"),0)</f>
        <v/>
      </c>
      <c r="G16" s="156">
        <f>IFERROR(E16-F16,"N/A")</f>
        <v/>
      </c>
      <c r="H16" s="157" t="n">
        <v>339.11</v>
      </c>
      <c r="I16" s="146">
        <f>IFERROR(E16*H16,0)</f>
        <v/>
      </c>
      <c r="J16" s="165">
        <f>IFERROR(XLOOKUP([@Asset],tblPrice[Ticker],tblPrice[Effective Price]),0)</f>
        <v/>
      </c>
      <c r="K16" s="154">
        <f>IF(N(XLOOKUP([@Asset],tblPrice[Ticker],tblPrice[Live Price]))&gt;0,"Live (PQ)","Manual")</f>
        <v/>
      </c>
      <c r="L16" s="147">
        <f>IFERROR(E16*J16,0)</f>
        <v/>
      </c>
      <c r="M16" s="155">
        <f>XLOOKUP("CURRENT_FX_USDTHB",tblSettings[Key],tblSettings[Value])</f>
        <v/>
      </c>
      <c r="N16" s="128">
        <f>IFERROR(I16*M16,0)</f>
        <v/>
      </c>
      <c r="O16" s="140">
        <f>IFERROR(L16*M16,0)</f>
        <v/>
      </c>
      <c r="P16" s="140">
        <f>O16-N16</f>
        <v/>
      </c>
      <c r="Q16" s="166">
        <f>IFERROR(P16/N16,"N/A")</f>
        <v/>
      </c>
      <c r="R16" s="166">
        <f>IFERROR(O16/SUM($O$6:$O$22),0)</f>
        <v/>
      </c>
      <c r="S16" s="144" t="n">
        <v>46279</v>
      </c>
      <c r="T16" s="145" t="inlineStr">
        <is>
          <t>Active</t>
        </is>
      </c>
    </row>
    <row r="17">
      <c r="B17" s="162" t="inlineStr">
        <is>
          <t>AMPX</t>
        </is>
      </c>
      <c r="C17" s="137" t="inlineStr">
        <is>
          <t>US</t>
        </is>
      </c>
      <c r="D17" s="137" t="inlineStr">
        <is>
          <t>USD</t>
        </is>
      </c>
      <c r="E17" s="163" t="n">
        <v>11.0360642</v>
      </c>
      <c r="F17" s="164">
        <f>IFERROR(SUMIFS(tblInvTx[Quantity],tblInvTx[Asset],[@Asset],tblInvTx[Transaction Type],"Buy")-SUMIFS(tblInvTx[Quantity],tblInvTx[Asset],[@Asset],tblInvTx[Transaction Type],"Sell"),0)</f>
        <v/>
      </c>
      <c r="G17" s="156">
        <f>IFERROR(E17-F17,"N/A")</f>
        <v/>
      </c>
      <c r="H17" s="157" t="n">
        <v>9.970000000000001</v>
      </c>
      <c r="I17" s="146">
        <f>IFERROR(E17*H17,0)</f>
        <v/>
      </c>
      <c r="J17" s="165">
        <f>IFERROR(XLOOKUP([@Asset],tblPrice[Ticker],tblPrice[Effective Price]),0)</f>
        <v/>
      </c>
      <c r="K17" s="154">
        <f>IF(N(XLOOKUP([@Asset],tblPrice[Ticker],tblPrice[Live Price]))&gt;0,"Live (PQ)","Manual")</f>
        <v/>
      </c>
      <c r="L17" s="147">
        <f>IFERROR(E17*J17,0)</f>
        <v/>
      </c>
      <c r="M17" s="155">
        <f>XLOOKUP("CURRENT_FX_USDTHB",tblSettings[Key],tblSettings[Value])</f>
        <v/>
      </c>
      <c r="N17" s="128">
        <f>IFERROR(I17*M17,0)</f>
        <v/>
      </c>
      <c r="O17" s="140">
        <f>IFERROR(L17*M17,0)</f>
        <v/>
      </c>
      <c r="P17" s="140">
        <f>O17-N17</f>
        <v/>
      </c>
      <c r="Q17" s="166">
        <f>IFERROR(P17/N17,"N/A")</f>
        <v/>
      </c>
      <c r="R17" s="166">
        <f>IFERROR(O17/SUM($O$6:$O$22),0)</f>
        <v/>
      </c>
      <c r="S17" s="144" t="n">
        <v>46279</v>
      </c>
      <c r="T17" s="145" t="inlineStr">
        <is>
          <t>Active</t>
        </is>
      </c>
    </row>
    <row r="18">
      <c r="B18" s="162" t="inlineStr">
        <is>
          <t>PRCT</t>
        </is>
      </c>
      <c r="C18" s="137" t="inlineStr">
        <is>
          <t>US</t>
        </is>
      </c>
      <c r="D18" s="137" t="inlineStr">
        <is>
          <t>USD</t>
        </is>
      </c>
      <c r="E18" s="163" t="n">
        <v>4.3846372</v>
      </c>
      <c r="F18" s="164">
        <f>IFERROR(SUMIFS(tblInvTx[Quantity],tblInvTx[Asset],[@Asset],tblInvTx[Transaction Type],"Buy")-SUMIFS(tblInvTx[Quantity],tblInvTx[Asset],[@Asset],tblInvTx[Transaction Type],"Sell"),0)</f>
        <v/>
      </c>
      <c r="G18" s="156">
        <f>IFERROR(E18-F18,"N/A")</f>
        <v/>
      </c>
      <c r="H18" s="157" t="n">
        <v>26.69</v>
      </c>
      <c r="I18" s="146">
        <f>IFERROR(E18*H18,0)</f>
        <v/>
      </c>
      <c r="J18" s="165">
        <f>IFERROR(XLOOKUP([@Asset],tblPrice[Ticker],tblPrice[Effective Price]),0)</f>
        <v/>
      </c>
      <c r="K18" s="154">
        <f>IF(N(XLOOKUP([@Asset],tblPrice[Ticker],tblPrice[Live Price]))&gt;0,"Live (PQ)","Manual")</f>
        <v/>
      </c>
      <c r="L18" s="147">
        <f>IFERROR(E18*J18,0)</f>
        <v/>
      </c>
      <c r="M18" s="155">
        <f>XLOOKUP("CURRENT_FX_USDTHB",tblSettings[Key],tblSettings[Value])</f>
        <v/>
      </c>
      <c r="N18" s="128">
        <f>IFERROR(I18*M18,0)</f>
        <v/>
      </c>
      <c r="O18" s="140">
        <f>IFERROR(L18*M18,0)</f>
        <v/>
      </c>
      <c r="P18" s="140">
        <f>O18-N18</f>
        <v/>
      </c>
      <c r="Q18" s="166">
        <f>IFERROR(P18/N18,"N/A")</f>
        <v/>
      </c>
      <c r="R18" s="166">
        <f>IFERROR(O18/SUM($O$6:$O$22),0)</f>
        <v/>
      </c>
      <c r="S18" s="144" t="n">
        <v>46279</v>
      </c>
      <c r="T18" s="145" t="inlineStr">
        <is>
          <t>Active</t>
        </is>
      </c>
    </row>
    <row r="19">
      <c r="B19" s="162" t="inlineStr">
        <is>
          <t>SCB</t>
        </is>
      </c>
      <c r="C19" s="137" t="inlineStr">
        <is>
          <t>SET</t>
        </is>
      </c>
      <c r="D19" s="137" t="inlineStr">
        <is>
          <t>THB</t>
        </is>
      </c>
      <c r="E19" s="167" t="inlineStr">
        <is>
          <t>N/A</t>
        </is>
      </c>
      <c r="F19" s="164">
        <f>IFERROR(SUMIFS(tblInvTx[Quantity],tblInvTx[Asset],[@Asset],tblInvTx[Transaction Type],"Buy")-SUMIFS(tblInvTx[Quantity],tblInvTx[Asset],[@Asset],tblInvTx[Transaction Type],"Sell"),0)</f>
        <v/>
      </c>
      <c r="G19" s="156">
        <f>IFERROR(E19-F19,"N/A")</f>
        <v/>
      </c>
      <c r="H19" s="139" t="inlineStr">
        <is>
          <t>N/A</t>
        </is>
      </c>
      <c r="I19" s="128" t="n">
        <v>7513.9</v>
      </c>
      <c r="J19" s="139" t="inlineStr">
        <is>
          <t>N/A</t>
        </is>
      </c>
      <c r="K19" s="154" t="inlineStr">
        <is>
          <t>Reported (no price)</t>
        </is>
      </c>
      <c r="L19" s="140" t="n">
        <v>8207</v>
      </c>
      <c r="M19" s="155" t="n">
        <v>1</v>
      </c>
      <c r="N19" s="128">
        <f>IFERROR(I19*M19,0)</f>
        <v/>
      </c>
      <c r="O19" s="140">
        <f>IFERROR(L19*M19,0)</f>
        <v/>
      </c>
      <c r="P19" s="140">
        <f>O19-N19</f>
        <v/>
      </c>
      <c r="Q19" s="166">
        <f>IFERROR(P19/N19,"N/A")</f>
        <v/>
      </c>
      <c r="R19" s="166">
        <f>IFERROR(O19/SUM($O$6:$O$22),0)</f>
        <v/>
      </c>
      <c r="S19" s="144" t="n">
        <v>46190</v>
      </c>
      <c r="T19" s="149" t="inlineStr">
        <is>
          <t>Stale</t>
        </is>
      </c>
    </row>
    <row r="20">
      <c r="B20" s="162" t="inlineStr">
        <is>
          <t>GULF</t>
        </is>
      </c>
      <c r="C20" s="137" t="inlineStr">
        <is>
          <t>SET</t>
        </is>
      </c>
      <c r="D20" s="137" t="inlineStr">
        <is>
          <t>THB</t>
        </is>
      </c>
      <c r="E20" s="167" t="inlineStr">
        <is>
          <t>N/A</t>
        </is>
      </c>
      <c r="F20" s="164">
        <f>IFERROR(SUMIFS(tblInvTx[Quantity],tblInvTx[Asset],[@Asset],tblInvTx[Transaction Type],"Buy")-SUMIFS(tblInvTx[Quantity],tblInvTx[Asset],[@Asset],tblInvTx[Transaction Type],"Sell"),0)</f>
        <v/>
      </c>
      <c r="G20" s="156">
        <f>IFERROR(E20-F20,"N/A")</f>
        <v/>
      </c>
      <c r="H20" s="139" t="inlineStr">
        <is>
          <t>N/A</t>
        </is>
      </c>
      <c r="I20" s="128" t="n">
        <v>4275</v>
      </c>
      <c r="J20" s="139" t="inlineStr">
        <is>
          <t>N/A</t>
        </is>
      </c>
      <c r="K20" s="154" t="inlineStr">
        <is>
          <t>Reported (no price)</t>
        </is>
      </c>
      <c r="L20" s="140" t="n">
        <v>6425</v>
      </c>
      <c r="M20" s="155" t="n">
        <v>1</v>
      </c>
      <c r="N20" s="128">
        <f>IFERROR(I20*M20,0)</f>
        <v/>
      </c>
      <c r="O20" s="140">
        <f>IFERROR(L20*M20,0)</f>
        <v/>
      </c>
      <c r="P20" s="140">
        <f>O20-N20</f>
        <v/>
      </c>
      <c r="Q20" s="166">
        <f>IFERROR(P20/N20,"N/A")</f>
        <v/>
      </c>
      <c r="R20" s="166">
        <f>IFERROR(O20/SUM($O$6:$O$22),0)</f>
        <v/>
      </c>
      <c r="S20" s="144" t="n">
        <v>46190</v>
      </c>
      <c r="T20" s="149" t="inlineStr">
        <is>
          <t>Stale</t>
        </is>
      </c>
    </row>
    <row r="21">
      <c r="B21" s="162" t="inlineStr">
        <is>
          <t>MTS-GOLD</t>
        </is>
      </c>
      <c r="C21" s="137" t="inlineStr">
        <is>
          <t>Commodity</t>
        </is>
      </c>
      <c r="D21" s="137" t="inlineStr">
        <is>
          <t>USD</t>
        </is>
      </c>
      <c r="E21" s="163" t="n">
        <v>0</v>
      </c>
      <c r="F21" s="164">
        <f>IFERROR(SUMIFS(tblInvTx[Quantity],tblInvTx[Asset],[@Asset],tblInvTx[Transaction Type],"Buy")-SUMIFS(tblInvTx[Quantity],tblInvTx[Asset],[@Asset],tblInvTx[Transaction Type],"Sell"),0)</f>
        <v/>
      </c>
      <c r="G21" s="156">
        <f>IFERROR(E21-F21,"N/A")</f>
        <v/>
      </c>
      <c r="H21" s="157" t="n">
        <v>0</v>
      </c>
      <c r="I21" s="146">
        <f>IFERROR(E21*H21,0)</f>
        <v/>
      </c>
      <c r="J21" s="165">
        <f>IFERROR(XLOOKUP([@Asset],tblPrice[Ticker],tblPrice[Effective Price]),0)</f>
        <v/>
      </c>
      <c r="K21" s="154">
        <f>IF(N(XLOOKUP([@Asset],tblPrice[Ticker],tblPrice[Live Price]))&gt;0,"Live (PQ)","Manual")</f>
        <v/>
      </c>
      <c r="L21" s="147">
        <f>IFERROR(E21*J21,0)</f>
        <v/>
      </c>
      <c r="M21" s="155">
        <f>XLOOKUP("CURRENT_FX_USDTHB",tblSettings[Key],tblSettings[Value])</f>
        <v/>
      </c>
      <c r="N21" s="128">
        <f>IFERROR(I21*M21,0)</f>
        <v/>
      </c>
      <c r="O21" s="140">
        <f>IFERROR(L21*M21,0)</f>
        <v/>
      </c>
      <c r="P21" s="140">
        <f>O21-N21</f>
        <v/>
      </c>
      <c r="Q21" s="166">
        <f>IFERROR(P21/N21,"N/A")</f>
        <v/>
      </c>
      <c r="R21" s="166">
        <f>IFERROR(O21/SUM($O$6:$O$22),0)</f>
        <v/>
      </c>
      <c r="S21" s="144" t="n">
        <v>46254</v>
      </c>
      <c r="T21" s="150" t="inlineStr">
        <is>
          <t>Closed</t>
        </is>
      </c>
    </row>
    <row r="22">
      <c r="B22" s="162" t="inlineStr">
        <is>
          <t>PVD</t>
        </is>
      </c>
      <c r="C22" s="137" t="inlineStr">
        <is>
          <t>PVD</t>
        </is>
      </c>
      <c r="D22" s="137" t="inlineStr">
        <is>
          <t>THB</t>
        </is>
      </c>
      <c r="E22" s="167" t="inlineStr">
        <is>
          <t>N/A</t>
        </is>
      </c>
      <c r="F22" s="164">
        <f>IFERROR(SUMIFS(tblInvTx[Quantity],tblInvTx[Asset],[@Asset],tblInvTx[Transaction Type],"Buy")-SUMIFS(tblInvTx[Quantity],tblInvTx[Asset],[@Asset],tblInvTx[Transaction Type],"Sell"),0)</f>
        <v/>
      </c>
      <c r="G22" s="156">
        <f>IFERROR(E22-F22,"N/A")</f>
        <v/>
      </c>
      <c r="H22" s="139" t="inlineStr">
        <is>
          <t>N/A</t>
        </is>
      </c>
      <c r="I22" s="128">
        <f>IFERROR(LOOKUP(2,1/(tblPVD[Month]&lt;&gt;""),tblPVD[Total Contribution]),0)</f>
        <v/>
      </c>
      <c r="J22" s="139" t="inlineStr">
        <is>
          <t>N/A</t>
        </is>
      </c>
      <c r="K22" s="154" t="inlineStr">
        <is>
          <t>From 09_PVD</t>
        </is>
      </c>
      <c r="L22" s="140">
        <f>IFERROR(LOOKUP(2,1/(tblPVD[Month]&lt;&gt;""),tblPVD[Ending Balance (Reported)]),0)</f>
        <v/>
      </c>
      <c r="M22" s="155" t="n">
        <v>1</v>
      </c>
      <c r="N22" s="128">
        <f>IFERROR(I22*M22,0)</f>
        <v/>
      </c>
      <c r="O22" s="140">
        <f>IFERROR(L22*M22,0)</f>
        <v/>
      </c>
      <c r="P22" s="140">
        <f>O22-N22</f>
        <v/>
      </c>
      <c r="Q22" s="166">
        <f>IFERROR(P22/N22,"N/A")</f>
        <v/>
      </c>
      <c r="R22" s="166">
        <f>IFERROR(O22/SUM($O$6:$O$22),0)</f>
        <v/>
      </c>
      <c r="S22" s="144" t="n">
        <v>46266</v>
      </c>
      <c r="T22" s="145" t="inlineStr">
        <is>
          <t>Active</t>
        </is>
      </c>
    </row>
    <row r="23">
      <c r="B23" s="168" t="inlineStr">
        <is>
          <t>TOTAL</t>
        </is>
      </c>
      <c r="C23" s="169" t="inlineStr"/>
      <c r="D23" s="169" t="inlineStr"/>
      <c r="E23" s="169" t="inlineStr"/>
      <c r="F23" s="169" t="inlineStr"/>
      <c r="G23" s="169" t="inlineStr"/>
      <c r="H23" s="169" t="inlineStr"/>
      <c r="I23" s="169" t="inlineStr"/>
      <c r="J23" s="169" t="inlineStr"/>
      <c r="K23" s="169" t="inlineStr"/>
      <c r="L23" s="169" t="inlineStr"/>
      <c r="M23" s="169" t="inlineStr"/>
      <c r="N23" s="170">
        <f>SUM(N6:N22)</f>
        <v/>
      </c>
      <c r="O23" s="170">
        <f>SUM(O6:O22)</f>
        <v/>
      </c>
      <c r="P23" s="170">
        <f>SUM(P6:P22)</f>
        <v/>
      </c>
      <c r="Q23" s="171">
        <f>IFERROR(P23/N23,0)</f>
        <v/>
      </c>
      <c r="R23" s="171">
        <f>SUM(R6:R22)</f>
        <v/>
      </c>
      <c r="S23" s="169" t="inlineStr"/>
      <c r="T23" s="169" t="inlineStr"/>
    </row>
    <row r="25">
      <c r="B25" s="172" t="inlineStr">
        <is>
          <t>⚠ SCB / GULF: ไฟล์เดิมมีแต่มูลค่ารวมและกำไร ไม่มีจำนวนหุ้นและราคาต่อหุ้น จึงใส่ N/A ตามกฎข้อ 45 — กรอกจำนวนหุ้นแล้วระบบจะคำนวณ Average Cost ให้เอง</t>
        </is>
      </c>
    </row>
  </sheetData>
  <mergeCells count="1">
    <mergeCell ref="B25:T25"/>
  </mergeCells>
  <conditionalFormatting sqref="P6:P22">
    <cfRule type="cellIs" priority="1" operator="lessThan" dxfId="9">
      <formula>0</formula>
    </cfRule>
    <cfRule type="cellIs" priority="2" operator="greaterThan" dxfId="10">
      <formula>0</formula>
    </cfRule>
  </conditionalFormatting>
  <conditionalFormatting sqref="Q6:Q22">
    <cfRule type="cellIs" priority="3" operator="lessThan" dxfId="9">
      <formula>0</formula>
    </cfRule>
    <cfRule type="cellIs" priority="4" operator="greaterThan" dxfId="10">
      <formula>0</formula>
    </cfRule>
  </conditionalFormatting>
  <conditionalFormatting sqref="G6:G22">
    <cfRule type="expression" priority="5" dxfId="4">
      <formula>AND(ISNUMBER($G6),ABS($G6)&gt;0.0001)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B3B8C"/>
    <outlinePr summaryBelow="1" summaryRight="1"/>
    <pageSetUpPr/>
  </sheetPr>
  <dimension ref="B2:P222"/>
  <sheetViews>
    <sheetView showGridLines="0" tabSelected="0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1" customWidth="1" min="3" max="3"/>
    <col width="11" customWidth="1" min="4" max="4"/>
    <col width="12" customWidth="1" min="5" max="5"/>
    <col width="15" customWidth="1" min="6" max="6"/>
    <col width="14" customWidth="1" min="7" max="7"/>
    <col width="13" customWidth="1" min="8" max="8"/>
    <col width="9" customWidth="1" min="9" max="9"/>
    <col width="10" customWidth="1" min="10" max="10"/>
    <col width="15" customWidth="1" min="11" max="11"/>
    <col width="8" customWidth="1" min="12" max="12"/>
    <col width="13" customWidth="1" min="13" max="13"/>
    <col width="13" customWidth="1" min="14" max="14"/>
    <col width="26" customWidth="1" min="15" max="15"/>
    <col width="58" customWidth="1" min="16" max="16"/>
  </cols>
  <sheetData>
    <row r="2" ht="26" customHeight="1">
      <c r="B2" s="124" t="inlineStr">
        <is>
          <t>07_INVESTMENT_TX — ประวัติการลงทุนทั้งหมด</t>
        </is>
      </c>
    </row>
    <row r="3" ht="14" customHeight="1">
      <c r="B3" s="125" t="inlineStr">
        <is>
          <t>ผูก 1:1 กับ 04_TRANSACTIONS | ทองคำกู้คืนครบจากภาพหน้าจอ Dime (รวม 2 รายการที่ไฟล์เดิมตกหล่น)</t>
        </is>
      </c>
    </row>
    <row r="5" ht="30" customHeight="1">
      <c r="B5" s="126" t="inlineStr">
        <is>
          <t>Inv TX ID</t>
        </is>
      </c>
      <c r="C5" s="126" t="inlineStr">
        <is>
          <t>Date</t>
        </is>
      </c>
      <c r="D5" s="126" t="inlineStr">
        <is>
          <t>Asset</t>
        </is>
      </c>
      <c r="E5" s="126" t="inlineStr">
        <is>
          <t>Market</t>
        </is>
      </c>
      <c r="F5" s="126" t="inlineStr">
        <is>
          <t>Transaction Type</t>
        </is>
      </c>
      <c r="G5" s="126" t="inlineStr">
        <is>
          <t>Quantity</t>
        </is>
      </c>
      <c r="H5" s="126" t="inlineStr">
        <is>
          <t>Price</t>
        </is>
      </c>
      <c r="I5" s="126" t="inlineStr">
        <is>
          <t>Currency</t>
        </is>
      </c>
      <c r="J5" s="126" t="inlineStr">
        <is>
          <t>FX Rate</t>
        </is>
      </c>
      <c r="K5" s="126" t="inlineStr">
        <is>
          <t>THB Value</t>
        </is>
      </c>
      <c r="L5" s="126" t="inlineStr">
        <is>
          <t>Fee</t>
        </is>
      </c>
      <c r="M5" s="126" t="inlineStr">
        <is>
          <t>Cost Basis</t>
        </is>
      </c>
      <c r="N5" s="126" t="inlineStr">
        <is>
          <t>Realized P/L</t>
        </is>
      </c>
      <c r="O5" s="126" t="inlineStr">
        <is>
          <t>Source</t>
        </is>
      </c>
      <c r="P5" s="126" t="inlineStr">
        <is>
          <t>Note</t>
        </is>
      </c>
    </row>
    <row r="6">
      <c r="B6" s="153" t="inlineStr">
        <is>
          <t>ITX-00001</t>
        </is>
      </c>
      <c r="C6" s="144" t="n">
        <v>45866</v>
      </c>
      <c r="D6" s="158" t="inlineStr">
        <is>
          <t>MTS-GOLD</t>
        </is>
      </c>
      <c r="E6" s="137" t="inlineStr">
        <is>
          <t>Commodity</t>
        </is>
      </c>
      <c r="F6" s="137" t="inlineStr">
        <is>
          <t>Buy</t>
        </is>
      </c>
      <c r="G6" s="156" t="n">
        <v>0.0924</v>
      </c>
      <c r="H6" s="157" t="n">
        <v>3315.49</v>
      </c>
      <c r="I6" s="137" t="inlineStr">
        <is>
          <t>USD</t>
        </is>
      </c>
      <c r="J6" s="155">
        <f>IFERROR(LOOKUP(2,1/(tblFX[Date]&lt;=[@Date]),tblFX[Rate]),XLOOKUP("CURRENT_FX_USDTHB",tblSettings[Key],tblSettings[Value]))</f>
        <v/>
      </c>
      <c r="K6" s="128">
        <f>G6*H6*J6</f>
        <v/>
      </c>
      <c r="L6" s="146" t="n">
        <v>0</v>
      </c>
      <c r="M6" s="146" t="n">
        <v>306.3513</v>
      </c>
      <c r="N6" s="146" t="inlineStr"/>
      <c r="O6" s="142" t="inlineStr">
        <is>
          <t>Dime app IMG_7097-7102</t>
        </is>
      </c>
      <c r="P6" s="142" t="inlineStr"/>
    </row>
    <row r="7">
      <c r="B7" s="153" t="inlineStr">
        <is>
          <t>ITX-00002</t>
        </is>
      </c>
      <c r="C7" s="144" t="n">
        <v>45868</v>
      </c>
      <c r="D7" s="158" t="inlineStr">
        <is>
          <t>AAPL</t>
        </is>
      </c>
      <c r="E7" s="137" t="inlineStr">
        <is>
          <t>US</t>
        </is>
      </c>
      <c r="F7" s="137" t="inlineStr">
        <is>
          <t>Buy</t>
        </is>
      </c>
      <c r="G7" s="156" t="n">
        <v>0.474842827024255</v>
      </c>
      <c r="H7" s="157" t="n">
        <v>210.596</v>
      </c>
      <c r="I7" s="137" t="inlineStr">
        <is>
          <t>USD</t>
        </is>
      </c>
      <c r="J7" s="155">
        <f>IFERROR(LOOKUP(2,1/(tblFX[Date]&lt;=[@Date]),tblFX[Rate]),XLOOKUP("CURRENT_FX_USDTHB",tblSettings[Key],tblSettings[Value]))</f>
        <v/>
      </c>
      <c r="K7" s="128">
        <f>G7*H7*J7</f>
        <v/>
      </c>
      <c r="L7" s="146" t="n">
        <v>0</v>
      </c>
      <c r="M7" s="146" t="n">
        <v>100</v>
      </c>
      <c r="N7" s="146" t="inlineStr"/>
      <c r="O7" s="142" t="inlineStr">
        <is>
          <t>USA STOCK HIS 2</t>
        </is>
      </c>
      <c r="P7" s="142" t="inlineStr">
        <is>
          <t>30 กรกฎาคม 2568 — ซื้อวันที่ 30 ก.ค. 68 เวลา 21:58:47 น.</t>
        </is>
      </c>
    </row>
    <row r="8">
      <c r="B8" s="153" t="inlineStr">
        <is>
          <t>ITX-00003</t>
        </is>
      </c>
      <c r="C8" s="144" t="n">
        <v>45871</v>
      </c>
      <c r="D8" s="158" t="inlineStr">
        <is>
          <t>AMPX</t>
        </is>
      </c>
      <c r="E8" s="137" t="inlineStr">
        <is>
          <t>US</t>
        </is>
      </c>
      <c r="F8" s="137" t="inlineStr">
        <is>
          <t>Buy</t>
        </is>
      </c>
      <c r="G8" s="156" t="n">
        <v>7.042584158880699</v>
      </c>
      <c r="H8" s="157" t="n">
        <v>6.3897</v>
      </c>
      <c r="I8" s="137" t="inlineStr">
        <is>
          <t>USD</t>
        </is>
      </c>
      <c r="J8" s="155">
        <f>IFERROR(LOOKUP(2,1/(tblFX[Date]&lt;=[@Date]),tblFX[Rate]),XLOOKUP("CURRENT_FX_USDTHB",tblSettings[Key],tblSettings[Value]))</f>
        <v/>
      </c>
      <c r="K8" s="128">
        <f>G8*H8*J8</f>
        <v/>
      </c>
      <c r="L8" s="146" t="n">
        <v>0</v>
      </c>
      <c r="M8" s="146" t="n">
        <v>45</v>
      </c>
      <c r="N8" s="146" t="inlineStr"/>
      <c r="O8" s="142" t="inlineStr">
        <is>
          <t>USA STOCK HIS 2</t>
        </is>
      </c>
      <c r="P8" s="142" t="inlineStr">
        <is>
          <t>2 สิงหาคม 2568 — ซื้อวันที่ 2 ส.ค. 68 เวลา 01:22-01:35 น.</t>
        </is>
      </c>
    </row>
    <row r="9">
      <c r="B9" s="153" t="inlineStr">
        <is>
          <t>ITX-00004</t>
        </is>
      </c>
      <c r="C9" s="144" t="n">
        <v>45871</v>
      </c>
      <c r="D9" s="158" t="inlineStr">
        <is>
          <t>BEPC</t>
        </is>
      </c>
      <c r="E9" s="137" t="inlineStr">
        <is>
          <t>US</t>
        </is>
      </c>
      <c r="F9" s="137" t="inlineStr">
        <is>
          <t>Buy</t>
        </is>
      </c>
      <c r="G9" s="156" t="n">
        <v>2.943340691685063</v>
      </c>
      <c r="H9" s="157" t="n">
        <v>33.975</v>
      </c>
      <c r="I9" s="137" t="inlineStr">
        <is>
          <t>USD</t>
        </is>
      </c>
      <c r="J9" s="155">
        <f>IFERROR(LOOKUP(2,1/(tblFX[Date]&lt;=[@Date]),tblFX[Rate]),XLOOKUP("CURRENT_FX_USDTHB",tblSettings[Key],tblSettings[Value]))</f>
        <v/>
      </c>
      <c r="K9" s="128">
        <f>G9*H9*J9</f>
        <v/>
      </c>
      <c r="L9" s="146" t="n">
        <v>0</v>
      </c>
      <c r="M9" s="146" t="n">
        <v>100</v>
      </c>
      <c r="N9" s="146" t="inlineStr"/>
      <c r="O9" s="142" t="inlineStr">
        <is>
          <t>USA STOCK HIS 2</t>
        </is>
      </c>
      <c r="P9" s="142" t="inlineStr">
        <is>
          <t>2 สิงหาคม 2568 — ซื้อวันที่ 2 ส.ค. 68 เวลา 01:22-01:35 น.</t>
        </is>
      </c>
    </row>
    <row r="10">
      <c r="B10" s="153" t="inlineStr">
        <is>
          <t>ITX-00005</t>
        </is>
      </c>
      <c r="C10" s="144" t="n">
        <v>45875</v>
      </c>
      <c r="D10" s="158" t="inlineStr">
        <is>
          <t>AMPX</t>
        </is>
      </c>
      <c r="E10" s="137" t="inlineStr">
        <is>
          <t>US</t>
        </is>
      </c>
      <c r="F10" s="137" t="inlineStr">
        <is>
          <t>Sell</t>
        </is>
      </c>
      <c r="G10" s="156" t="n">
        <v>7.03135</v>
      </c>
      <c r="H10" s="157" t="n">
        <v>7.8334</v>
      </c>
      <c r="I10" s="137" t="inlineStr">
        <is>
          <t>USD</t>
        </is>
      </c>
      <c r="J10" s="155">
        <f>IFERROR(LOOKUP(2,1/(tblFX[Date]&lt;=[@Date]),tblFX[Rate]),XLOOKUP("CURRENT_FX_USDTHB",tblSettings[Key],tblSettings[Value]))</f>
        <v/>
      </c>
      <c r="K10" s="128">
        <f>G10*H10*J10</f>
        <v/>
      </c>
      <c r="L10" s="146" t="n">
        <v>0</v>
      </c>
      <c r="M10" s="146" t="n">
        <v>44.928217095</v>
      </c>
      <c r="N10" s="146" t="n">
        <v>10.1512</v>
      </c>
      <c r="O10" s="142" t="inlineStr">
        <is>
          <t>USA STOCK HIS 2</t>
        </is>
      </c>
      <c r="P10" s="142" t="inlineStr">
        <is>
          <t>Average Cost Method</t>
        </is>
      </c>
    </row>
    <row r="11">
      <c r="B11" s="153" t="inlineStr">
        <is>
          <t>ITX-00006</t>
        </is>
      </c>
      <c r="C11" s="144" t="n">
        <v>45876</v>
      </c>
      <c r="D11" s="158" t="inlineStr">
        <is>
          <t>AMPX</t>
        </is>
      </c>
      <c r="E11" s="137" t="inlineStr">
        <is>
          <t>US</t>
        </is>
      </c>
      <c r="F11" s="137" t="inlineStr">
        <is>
          <t>Buy</t>
        </is>
      </c>
      <c r="G11" s="156" t="n">
        <v>5.000000000000001</v>
      </c>
      <c r="H11" s="157" t="n">
        <v>7.7882</v>
      </c>
      <c r="I11" s="137" t="inlineStr">
        <is>
          <t>USD</t>
        </is>
      </c>
      <c r="J11" s="155">
        <f>IFERROR(LOOKUP(2,1/(tblFX[Date]&lt;=[@Date]),tblFX[Rate]),XLOOKUP("CURRENT_FX_USDTHB",tblSettings[Key],tblSettings[Value]))</f>
        <v/>
      </c>
      <c r="K11" s="128">
        <f>G11*H11*J11</f>
        <v/>
      </c>
      <c r="L11" s="146" t="n">
        <v>0</v>
      </c>
      <c r="M11" s="146" t="n">
        <v>38.941</v>
      </c>
      <c r="N11" s="146" t="inlineStr"/>
      <c r="O11" s="142" t="inlineStr">
        <is>
          <t>USA STOCK HIS 2</t>
        </is>
      </c>
      <c r="P11" s="142" t="inlineStr">
        <is>
          <t>7 สิงหาคม 2568 (แก้ไข) — ซื้อ 5 หุ้น (ยู่นยืนโดยผู้ใช้ 14 ก.ย. 69) ซื้อวันที่ 7 ส.ค. 68 เวลา 21:28-23:01 น.</t>
        </is>
      </c>
    </row>
    <row r="12">
      <c r="B12" s="153" t="inlineStr">
        <is>
          <t>ITX-00007</t>
        </is>
      </c>
      <c r="C12" s="144" t="n">
        <v>45876</v>
      </c>
      <c r="D12" s="158" t="inlineStr">
        <is>
          <t>LLY</t>
        </is>
      </c>
      <c r="E12" s="137" t="inlineStr">
        <is>
          <t>US</t>
        </is>
      </c>
      <c r="F12" s="137" t="inlineStr">
        <is>
          <t>Buy</t>
        </is>
      </c>
      <c r="G12" s="156" t="n">
        <v>0.2201964152023605</v>
      </c>
      <c r="H12" s="157" t="n">
        <v>635.796</v>
      </c>
      <c r="I12" s="137" t="inlineStr">
        <is>
          <t>USD</t>
        </is>
      </c>
      <c r="J12" s="155">
        <f>IFERROR(LOOKUP(2,1/(tblFX[Date]&lt;=[@Date]),tblFX[Rate]),XLOOKUP("CURRENT_FX_USDTHB",tblSettings[Key],tblSettings[Value]))</f>
        <v/>
      </c>
      <c r="K12" s="128">
        <f>G12*H12*J12</f>
        <v/>
      </c>
      <c r="L12" s="146" t="n">
        <v>0</v>
      </c>
      <c r="M12" s="146" t="n">
        <v>140</v>
      </c>
      <c r="N12" s="146" t="inlineStr"/>
      <c r="O12" s="142" t="inlineStr">
        <is>
          <t>USA STOCK HIS 2</t>
        </is>
      </c>
      <c r="P12" s="142" t="inlineStr">
        <is>
          <t>7 สิงหาคม 2568 — ซื้อวันที่ 7 ส.ค. 68 เวลา 21:28-23:01 น.</t>
        </is>
      </c>
    </row>
    <row r="13">
      <c r="B13" s="153" t="inlineStr">
        <is>
          <t>ITX-00008</t>
        </is>
      </c>
      <c r="C13" s="144" t="n">
        <v>45877</v>
      </c>
      <c r="D13" s="158" t="inlineStr">
        <is>
          <t>MTS-GOLD</t>
        </is>
      </c>
      <c r="E13" s="137" t="inlineStr">
        <is>
          <t>Commodity</t>
        </is>
      </c>
      <c r="F13" s="137" t="inlineStr">
        <is>
          <t>Sell</t>
        </is>
      </c>
      <c r="G13" s="156" t="n">
        <v>0.0924</v>
      </c>
      <c r="H13" s="157" t="n">
        <v>3393.67</v>
      </c>
      <c r="I13" s="137" t="inlineStr">
        <is>
          <t>USD</t>
        </is>
      </c>
      <c r="J13" s="155">
        <f>IFERROR(LOOKUP(2,1/(tblFX[Date]&lt;=[@Date]),tblFX[Rate]),XLOOKUP("CURRENT_FX_USDTHB",tblSettings[Key],tblSettings[Value]))</f>
        <v/>
      </c>
      <c r="K13" s="128">
        <f>G13*H13*J13</f>
        <v/>
      </c>
      <c r="L13" s="146" t="n">
        <v>0</v>
      </c>
      <c r="M13" s="146" t="n">
        <v>306.3513</v>
      </c>
      <c r="N13" s="146" t="n">
        <v>7.2238</v>
      </c>
      <c r="O13" s="142" t="inlineStr">
        <is>
          <t>Dime app IMG_7097-7102</t>
        </is>
      </c>
      <c r="P13" s="142" t="inlineStr"/>
    </row>
    <row r="14">
      <c r="B14" s="153" t="inlineStr">
        <is>
          <t>ITX-00009</t>
        </is>
      </c>
      <c r="C14" s="144" t="n">
        <v>45880</v>
      </c>
      <c r="D14" s="158" t="inlineStr">
        <is>
          <t>MTS-GOLD</t>
        </is>
      </c>
      <c r="E14" s="137" t="inlineStr">
        <is>
          <t>Commodity</t>
        </is>
      </c>
      <c r="F14" s="137" t="inlineStr">
        <is>
          <t>Buy</t>
        </is>
      </c>
      <c r="G14" s="156" t="n">
        <v>0.0149</v>
      </c>
      <c r="H14" s="157" t="n">
        <v>3351.1</v>
      </c>
      <c r="I14" s="137" t="inlineStr">
        <is>
          <t>USD</t>
        </is>
      </c>
      <c r="J14" s="155">
        <f>IFERROR(LOOKUP(2,1/(tblFX[Date]&lt;=[@Date]),tblFX[Rate]),XLOOKUP("CURRENT_FX_USDTHB",tblSettings[Key],tblSettings[Value]))</f>
        <v/>
      </c>
      <c r="K14" s="128">
        <f>G14*H14*J14</f>
        <v/>
      </c>
      <c r="L14" s="146" t="n">
        <v>0</v>
      </c>
      <c r="M14" s="146" t="n">
        <v>49.9314</v>
      </c>
      <c r="N14" s="146" t="inlineStr"/>
      <c r="O14" s="142" t="inlineStr">
        <is>
          <t>Dime app IMG_7097-7102</t>
        </is>
      </c>
      <c r="P14" s="142" t="inlineStr"/>
    </row>
    <row r="15">
      <c r="B15" s="153" t="inlineStr">
        <is>
          <t>ITX-00010</t>
        </is>
      </c>
      <c r="C15" s="144" t="n">
        <v>45881</v>
      </c>
      <c r="D15" s="158" t="inlineStr">
        <is>
          <t>MTS-GOLD</t>
        </is>
      </c>
      <c r="E15" s="137" t="inlineStr">
        <is>
          <t>Commodity</t>
        </is>
      </c>
      <c r="F15" s="137" t="inlineStr">
        <is>
          <t>Buy</t>
        </is>
      </c>
      <c r="G15" s="156" t="n">
        <v>0.0149</v>
      </c>
      <c r="H15" s="157" t="n">
        <v>3345.16</v>
      </c>
      <c r="I15" s="137" t="inlineStr">
        <is>
          <t>USD</t>
        </is>
      </c>
      <c r="J15" s="155">
        <f>IFERROR(LOOKUP(2,1/(tblFX[Date]&lt;=[@Date]),tblFX[Rate]),XLOOKUP("CURRENT_FX_USDTHB",tblSettings[Key],tblSettings[Value]))</f>
        <v/>
      </c>
      <c r="K15" s="128">
        <f>G15*H15*J15</f>
        <v/>
      </c>
      <c r="L15" s="146" t="n">
        <v>0</v>
      </c>
      <c r="M15" s="146" t="n">
        <v>49.8429</v>
      </c>
      <c r="N15" s="146" t="inlineStr"/>
      <c r="O15" s="142" t="inlineStr">
        <is>
          <t>Dime app IMG_7097-7102</t>
        </is>
      </c>
      <c r="P15" s="142" t="inlineStr"/>
    </row>
    <row r="16">
      <c r="B16" s="153" t="inlineStr">
        <is>
          <t>ITX-00011</t>
        </is>
      </c>
      <c r="C16" s="144" t="n">
        <v>45884</v>
      </c>
      <c r="D16" s="158" t="inlineStr">
        <is>
          <t>LLY</t>
        </is>
      </c>
      <c r="E16" s="137" t="inlineStr">
        <is>
          <t>US</t>
        </is>
      </c>
      <c r="F16" s="137" t="inlineStr">
        <is>
          <t>Buy</t>
        </is>
      </c>
      <c r="G16" s="156" t="n">
        <v>0.09443227317367985</v>
      </c>
      <c r="H16" s="157" t="n">
        <v>635.376</v>
      </c>
      <c r="I16" s="137" t="inlineStr">
        <is>
          <t>USD</t>
        </is>
      </c>
      <c r="J16" s="155">
        <f>IFERROR(LOOKUP(2,1/(tblFX[Date]&lt;=[@Date]),tblFX[Rate]),XLOOKUP("CURRENT_FX_USDTHB",tblSettings[Key],tblSettings[Value]))</f>
        <v/>
      </c>
      <c r="K16" s="128">
        <f>G16*H16*J16</f>
        <v/>
      </c>
      <c r="L16" s="146" t="n">
        <v>0</v>
      </c>
      <c r="M16" s="146" t="n">
        <v>60</v>
      </c>
      <c r="N16" s="146" t="inlineStr"/>
      <c r="O16" s="142" t="inlineStr">
        <is>
          <t>USA STOCK HIS 2</t>
        </is>
      </c>
      <c r="P16" s="142" t="inlineStr">
        <is>
          <t>15-16 สิงหาคม 2568 — ซื้อวันที่ 15-16 ส.ค. 68</t>
        </is>
      </c>
    </row>
    <row r="17">
      <c r="B17" s="153" t="inlineStr">
        <is>
          <t>ITX-00012</t>
        </is>
      </c>
      <c r="C17" s="144" t="n">
        <v>45884</v>
      </c>
      <c r="D17" s="158" t="inlineStr">
        <is>
          <t>UNH</t>
        </is>
      </c>
      <c r="E17" s="137" t="inlineStr">
        <is>
          <t>US</t>
        </is>
      </c>
      <c r="F17" s="137" t="inlineStr">
        <is>
          <t>Buy</t>
        </is>
      </c>
      <c r="G17" s="156" t="n">
        <v>0.322815988430275</v>
      </c>
      <c r="H17" s="157" t="n">
        <v>309.774</v>
      </c>
      <c r="I17" s="137" t="inlineStr">
        <is>
          <t>USD</t>
        </is>
      </c>
      <c r="J17" s="155">
        <f>IFERROR(LOOKUP(2,1/(tblFX[Date]&lt;=[@Date]),tblFX[Rate]),XLOOKUP("CURRENT_FX_USDTHB",tblSettings[Key],tblSettings[Value]))</f>
        <v/>
      </c>
      <c r="K17" s="128">
        <f>G17*H17*J17</f>
        <v/>
      </c>
      <c r="L17" s="146" t="n">
        <v>0</v>
      </c>
      <c r="M17" s="146" t="n">
        <v>100</v>
      </c>
      <c r="N17" s="146" t="inlineStr"/>
      <c r="O17" s="142" t="inlineStr">
        <is>
          <t>USA STOCK HIS 2</t>
        </is>
      </c>
      <c r="P17" s="142" t="inlineStr">
        <is>
          <t>15-16 สิงหาคม 2568 — ซื้อวันที่ 15-16 ส.ค. 68</t>
        </is>
      </c>
    </row>
    <row r="18">
      <c r="B18" s="153" t="inlineStr">
        <is>
          <t>ITX-00013</t>
        </is>
      </c>
      <c r="C18" s="144" t="n">
        <v>45887</v>
      </c>
      <c r="D18" s="158" t="inlineStr">
        <is>
          <t>MTS-GOLD</t>
        </is>
      </c>
      <c r="E18" s="137" t="inlineStr">
        <is>
          <t>Commodity</t>
        </is>
      </c>
      <c r="F18" s="137" t="inlineStr">
        <is>
          <t>Buy</t>
        </is>
      </c>
      <c r="G18" s="156" t="n">
        <v>0.0149</v>
      </c>
      <c r="H18" s="157" t="n">
        <v>3344.54</v>
      </c>
      <c r="I18" s="137" t="inlineStr">
        <is>
          <t>USD</t>
        </is>
      </c>
      <c r="J18" s="155">
        <f>IFERROR(LOOKUP(2,1/(tblFX[Date]&lt;=[@Date]),tblFX[Rate]),XLOOKUP("CURRENT_FX_USDTHB",tblSettings[Key],tblSettings[Value]))</f>
        <v/>
      </c>
      <c r="K18" s="128">
        <f>G18*H18*J18</f>
        <v/>
      </c>
      <c r="L18" s="146" t="n">
        <v>0</v>
      </c>
      <c r="M18" s="146" t="n">
        <v>49.8336</v>
      </c>
      <c r="N18" s="146" t="inlineStr"/>
      <c r="O18" s="142" t="inlineStr">
        <is>
          <t>Dime app IMG_7097-7102</t>
        </is>
      </c>
      <c r="P18" s="142" t="inlineStr"/>
    </row>
    <row r="19">
      <c r="B19" s="153" t="inlineStr">
        <is>
          <t>ITX-00014</t>
        </is>
      </c>
      <c r="C19" s="144" t="n">
        <v>45897</v>
      </c>
      <c r="D19" s="158" t="inlineStr">
        <is>
          <t>MTS-GOLD</t>
        </is>
      </c>
      <c r="E19" s="137" t="inlineStr">
        <is>
          <t>Commodity</t>
        </is>
      </c>
      <c r="F19" s="137" t="inlineStr">
        <is>
          <t>Sell</t>
        </is>
      </c>
      <c r="G19" s="156" t="n">
        <v>0.0447</v>
      </c>
      <c r="H19" s="157" t="n">
        <v>3406.51</v>
      </c>
      <c r="I19" s="137" t="inlineStr">
        <is>
          <t>USD</t>
        </is>
      </c>
      <c r="J19" s="155">
        <f>IFERROR(LOOKUP(2,1/(tblFX[Date]&lt;=[@Date]),tblFX[Rate]),XLOOKUP("CURRENT_FX_USDTHB",tblSettings[Key],tblSettings[Value]))</f>
        <v/>
      </c>
      <c r="K19" s="128">
        <f>G19*H19*J19</f>
        <v/>
      </c>
      <c r="L19" s="146" t="n">
        <v>0</v>
      </c>
      <c r="M19" s="146" t="n">
        <v>149.6079</v>
      </c>
      <c r="N19" s="146" t="n">
        <v>2.6631</v>
      </c>
      <c r="O19" s="142" t="inlineStr">
        <is>
          <t>Dime app IMG_7097-7102</t>
        </is>
      </c>
      <c r="P19" s="142" t="inlineStr"/>
    </row>
    <row r="20">
      <c r="B20" s="153" t="inlineStr">
        <is>
          <t>ITX-00015</t>
        </is>
      </c>
      <c r="C20" s="144" t="n">
        <v>45904</v>
      </c>
      <c r="D20" s="158" t="inlineStr">
        <is>
          <t>BEPC</t>
        </is>
      </c>
      <c r="E20" s="137" t="inlineStr">
        <is>
          <t>US</t>
        </is>
      </c>
      <c r="F20" s="137" t="inlineStr">
        <is>
          <t>Buy</t>
        </is>
      </c>
      <c r="G20" s="156" t="n">
        <v>1.053074978938501</v>
      </c>
      <c r="H20" s="157" t="n">
        <v>33.236</v>
      </c>
      <c r="I20" s="137" t="inlineStr">
        <is>
          <t>USD</t>
        </is>
      </c>
      <c r="J20" s="155">
        <f>IFERROR(LOOKUP(2,1/(tblFX[Date]&lt;=[@Date]),tblFX[Rate]),XLOOKUP("CURRENT_FX_USDTHB",tblSettings[Key],tblSettings[Value]))</f>
        <v/>
      </c>
      <c r="K20" s="128">
        <f>G20*H20*J20</f>
        <v/>
      </c>
      <c r="L20" s="146" t="n">
        <v>0</v>
      </c>
      <c r="M20" s="146" t="n">
        <v>35</v>
      </c>
      <c r="N20" s="146" t="inlineStr"/>
      <c r="O20" s="142" t="inlineStr">
        <is>
          <t>USA STOCK HIS 2</t>
        </is>
      </c>
      <c r="P20" s="142" t="inlineStr">
        <is>
          <t>2-4 กันยายน 2568 — ซื้อวันที่ 2-4 ก.ย. 68</t>
        </is>
      </c>
    </row>
    <row r="21">
      <c r="B21" s="153" t="inlineStr">
        <is>
          <t>ITX-00016</t>
        </is>
      </c>
      <c r="C21" s="144" t="n">
        <v>45904</v>
      </c>
      <c r="D21" s="158" t="inlineStr">
        <is>
          <t>JEPQ</t>
        </is>
      </c>
      <c r="E21" s="137" t="inlineStr">
        <is>
          <t>US</t>
        </is>
      </c>
      <c r="F21" s="137" t="inlineStr">
        <is>
          <t>Buy</t>
        </is>
      </c>
      <c r="G21" s="156" t="n">
        <v>7</v>
      </c>
      <c r="H21" s="157" t="n">
        <v>55.4387</v>
      </c>
      <c r="I21" s="137" t="inlineStr">
        <is>
          <t>USD</t>
        </is>
      </c>
      <c r="J21" s="155">
        <f>IFERROR(LOOKUP(2,1/(tblFX[Date]&lt;=[@Date]),tblFX[Rate]),XLOOKUP("CURRENT_FX_USDTHB",tblSettings[Key],tblSettings[Value]))</f>
        <v/>
      </c>
      <c r="K21" s="128">
        <f>G21*H21*J21</f>
        <v/>
      </c>
      <c r="L21" s="146" t="n">
        <v>0</v>
      </c>
      <c r="M21" s="146" t="n">
        <v>388.0709</v>
      </c>
      <c r="N21" s="146" t="inlineStr"/>
      <c r="O21" s="142" t="inlineStr">
        <is>
          <t>USA STOCK HIS 2</t>
        </is>
      </c>
      <c r="P21" s="142" t="inlineStr">
        <is>
          <t>4 กันยายน 2568 — ซื้อ 7 หุ้น ซื้อเวลา 23:25:51 น. (พบจากภาพ IMG_7038, IMG_5441)</t>
        </is>
      </c>
    </row>
    <row r="22">
      <c r="B22" s="153" t="inlineStr">
        <is>
          <t>ITX-00017</t>
        </is>
      </c>
      <c r="C22" s="144" t="n">
        <v>45904</v>
      </c>
      <c r="D22" s="158" t="inlineStr">
        <is>
          <t>NVDA</t>
        </is>
      </c>
      <c r="E22" s="137" t="inlineStr">
        <is>
          <t>US</t>
        </is>
      </c>
      <c r="F22" s="137" t="inlineStr">
        <is>
          <t>Buy</t>
        </is>
      </c>
      <c r="G22" s="156" t="n">
        <v>0.2924997664206297</v>
      </c>
      <c r="H22" s="157" t="n">
        <v>171.248</v>
      </c>
      <c r="I22" s="137" t="inlineStr">
        <is>
          <t>USD</t>
        </is>
      </c>
      <c r="J22" s="155">
        <f>IFERROR(LOOKUP(2,1/(tblFX[Date]&lt;=[@Date]),tblFX[Rate]),XLOOKUP("CURRENT_FX_USDTHB",tblSettings[Key],tblSettings[Value]))</f>
        <v/>
      </c>
      <c r="K22" s="128">
        <f>G22*H22*J22</f>
        <v/>
      </c>
      <c r="L22" s="146" t="n">
        <v>0</v>
      </c>
      <c r="M22" s="146" t="n">
        <v>50.09</v>
      </c>
      <c r="N22" s="146" t="inlineStr"/>
      <c r="O22" s="142" t="inlineStr">
        <is>
          <t>USA STOCK HIS 2</t>
        </is>
      </c>
      <c r="P22" s="142" t="inlineStr">
        <is>
          <t>2-4 กันยายน 2568 — ซื้อวันที่ 2-4 ก.ย. 68</t>
        </is>
      </c>
    </row>
    <row r="23">
      <c r="B23" s="153" t="inlineStr">
        <is>
          <t>ITX-00018</t>
        </is>
      </c>
      <c r="C23" s="144" t="n">
        <v>45904</v>
      </c>
      <c r="D23" s="158" t="inlineStr">
        <is>
          <t>SCHD</t>
        </is>
      </c>
      <c r="E23" s="137" t="inlineStr">
        <is>
          <t>US</t>
        </is>
      </c>
      <c r="F23" s="137" t="inlineStr">
        <is>
          <t>Buy</t>
        </is>
      </c>
      <c r="G23" s="156" t="n">
        <v>10.89682683590209</v>
      </c>
      <c r="H23" s="157" t="n">
        <v>27.575</v>
      </c>
      <c r="I23" s="137" t="inlineStr">
        <is>
          <t>USD</t>
        </is>
      </c>
      <c r="J23" s="155">
        <f>IFERROR(LOOKUP(2,1/(tblFX[Date]&lt;=[@Date]),tblFX[Rate]),XLOOKUP("CURRENT_FX_USDTHB",tblSettings[Key],tblSettings[Value]))</f>
        <v/>
      </c>
      <c r="K23" s="128">
        <f>G23*H23*J23</f>
        <v/>
      </c>
      <c r="L23" s="146" t="n">
        <v>0</v>
      </c>
      <c r="M23" s="146" t="n">
        <v>300.48</v>
      </c>
      <c r="N23" s="146" t="inlineStr"/>
      <c r="O23" s="142" t="inlineStr">
        <is>
          <t>USA STOCK HIS 2</t>
        </is>
      </c>
      <c r="P23" s="142" t="inlineStr">
        <is>
          <t>2-4 กันยายน 2568 — ซื้อวันที่ 2-4 ก.ย. 68</t>
        </is>
      </c>
    </row>
    <row r="24">
      <c r="B24" s="153" t="inlineStr">
        <is>
          <t>ITX-00019</t>
        </is>
      </c>
      <c r="C24" s="144" t="n">
        <v>45910</v>
      </c>
      <c r="D24" s="158" t="inlineStr">
        <is>
          <t>AAPL</t>
        </is>
      </c>
      <c r="E24" s="137" t="inlineStr">
        <is>
          <t>US</t>
        </is>
      </c>
      <c r="F24" s="137" t="inlineStr">
        <is>
          <t>Buy</t>
        </is>
      </c>
      <c r="G24" s="156" t="n">
        <v>0.3143865709686074</v>
      </c>
      <c r="H24" s="157" t="n">
        <v>238.528</v>
      </c>
      <c r="I24" s="137" t="inlineStr">
        <is>
          <t>USD</t>
        </is>
      </c>
      <c r="J24" s="155">
        <f>IFERROR(LOOKUP(2,1/(tblFX[Date]&lt;=[@Date]),tblFX[Rate]),XLOOKUP("CURRENT_FX_USDTHB",tblSettings[Key],tblSettings[Value]))</f>
        <v/>
      </c>
      <c r="K24" s="128">
        <f>G24*H24*J24</f>
        <v/>
      </c>
      <c r="L24" s="146" t="n">
        <v>0</v>
      </c>
      <c r="M24" s="146" t="n">
        <v>74.98999999999999</v>
      </c>
      <c r="N24" s="146" t="inlineStr"/>
      <c r="O24" s="142" t="inlineStr">
        <is>
          <t>USA STOCK HIS 2</t>
        </is>
      </c>
      <c r="P24" s="142" t="inlineStr">
        <is>
          <t>8-12 กันยายน 2568 — ซื้อกระจายหลายวัน</t>
        </is>
      </c>
    </row>
    <row r="25">
      <c r="B25" s="153" t="inlineStr">
        <is>
          <t>ITX-00020</t>
        </is>
      </c>
      <c r="C25" s="144" t="n">
        <v>45910</v>
      </c>
      <c r="D25" s="158" t="inlineStr">
        <is>
          <t>AMZN</t>
        </is>
      </c>
      <c r="E25" s="137" t="inlineStr">
        <is>
          <t>US</t>
        </is>
      </c>
      <c r="F25" s="137" t="inlineStr">
        <is>
          <t>Buy</t>
        </is>
      </c>
      <c r="G25" s="156" t="n">
        <v>0.6154830117927421</v>
      </c>
      <c r="H25" s="157" t="n">
        <v>228.276</v>
      </c>
      <c r="I25" s="137" t="inlineStr">
        <is>
          <t>USD</t>
        </is>
      </c>
      <c r="J25" s="155">
        <f>IFERROR(LOOKUP(2,1/(tblFX[Date]&lt;=[@Date]),tblFX[Rate]),XLOOKUP("CURRENT_FX_USDTHB",tblSettings[Key],tblSettings[Value]))</f>
        <v/>
      </c>
      <c r="K25" s="128">
        <f>G25*H25*J25</f>
        <v/>
      </c>
      <c r="L25" s="146" t="n">
        <v>0</v>
      </c>
      <c r="M25" s="146" t="n">
        <v>140.5</v>
      </c>
      <c r="N25" s="146" t="inlineStr"/>
      <c r="O25" s="142" t="inlineStr">
        <is>
          <t>USA STOCK HIS 2</t>
        </is>
      </c>
      <c r="P25" s="142" t="inlineStr">
        <is>
          <t>8-12 กันยายน 2568 — ซื้อกระจายหลายวัน</t>
        </is>
      </c>
    </row>
    <row r="26">
      <c r="B26" s="153" t="inlineStr">
        <is>
          <t>ITX-00021</t>
        </is>
      </c>
      <c r="C26" s="144" t="n">
        <v>45910</v>
      </c>
      <c r="D26" s="158" t="inlineStr">
        <is>
          <t>META</t>
        </is>
      </c>
      <c r="E26" s="137" t="inlineStr">
        <is>
          <t>US</t>
        </is>
      </c>
      <c r="F26" s="137" t="inlineStr">
        <is>
          <t>Buy</t>
        </is>
      </c>
      <c r="G26" s="156" t="n">
        <v>0.1331821368629034</v>
      </c>
      <c r="H26" s="157" t="n">
        <v>753.104</v>
      </c>
      <c r="I26" s="137" t="inlineStr">
        <is>
          <t>USD</t>
        </is>
      </c>
      <c r="J26" s="155">
        <f>IFERROR(LOOKUP(2,1/(tblFX[Date]&lt;=[@Date]),tblFX[Rate]),XLOOKUP("CURRENT_FX_USDTHB",tblSettings[Key],tblSettings[Value]))</f>
        <v/>
      </c>
      <c r="K26" s="128">
        <f>G26*H26*J26</f>
        <v/>
      </c>
      <c r="L26" s="146" t="n">
        <v>0</v>
      </c>
      <c r="M26" s="146" t="n">
        <v>100.3</v>
      </c>
      <c r="N26" s="146" t="inlineStr"/>
      <c r="O26" s="142" t="inlineStr">
        <is>
          <t>USA STOCK HIS 2</t>
        </is>
      </c>
      <c r="P26" s="142" t="inlineStr">
        <is>
          <t>8-12 กันยายน 2568 — ซื้อกระจายหลายวัน</t>
        </is>
      </c>
    </row>
    <row r="27">
      <c r="B27" s="153" t="inlineStr">
        <is>
          <t>ITX-00022</t>
        </is>
      </c>
      <c r="C27" s="144" t="n">
        <v>45910</v>
      </c>
      <c r="D27" s="158" t="inlineStr">
        <is>
          <t>MSFT</t>
        </is>
      </c>
      <c r="E27" s="137" t="inlineStr">
        <is>
          <t>US</t>
        </is>
      </c>
      <c r="F27" s="137" t="inlineStr">
        <is>
          <t>Buy</t>
        </is>
      </c>
      <c r="G27" s="156" t="n">
        <v>0.3018560637969281</v>
      </c>
      <c r="H27" s="157" t="n">
        <v>498.582</v>
      </c>
      <c r="I27" s="137" t="inlineStr">
        <is>
          <t>USD</t>
        </is>
      </c>
      <c r="J27" s="155">
        <f>IFERROR(LOOKUP(2,1/(tblFX[Date]&lt;=[@Date]),tblFX[Rate]),XLOOKUP("CURRENT_FX_USDTHB",tblSettings[Key],tblSettings[Value]))</f>
        <v/>
      </c>
      <c r="K27" s="128">
        <f>G27*H27*J27</f>
        <v/>
      </c>
      <c r="L27" s="146" t="n">
        <v>0</v>
      </c>
      <c r="M27" s="146" t="n">
        <v>150.5</v>
      </c>
      <c r="N27" s="146" t="inlineStr"/>
      <c r="O27" s="142" t="inlineStr">
        <is>
          <t>USA STOCK HIS 2</t>
        </is>
      </c>
      <c r="P27" s="142" t="inlineStr">
        <is>
          <t>8-12 กันยายน 2568 — ซื้อกระจายหลายวัน</t>
        </is>
      </c>
    </row>
    <row r="28">
      <c r="B28" s="153" t="inlineStr">
        <is>
          <t>ITX-00023</t>
        </is>
      </c>
      <c r="C28" s="144" t="n">
        <v>45910</v>
      </c>
      <c r="D28" s="158" t="inlineStr">
        <is>
          <t>NVDA</t>
        </is>
      </c>
      <c r="E28" s="137" t="inlineStr">
        <is>
          <t>US</t>
        </is>
      </c>
      <c r="F28" s="137" t="inlineStr">
        <is>
          <t>Buy</t>
        </is>
      </c>
      <c r="G28" s="156" t="n">
        <v>0.5878272728341505</v>
      </c>
      <c r="H28" s="157" t="n">
        <v>170.118</v>
      </c>
      <c r="I28" s="137" t="inlineStr">
        <is>
          <t>USD</t>
        </is>
      </c>
      <c r="J28" s="155">
        <f>IFERROR(LOOKUP(2,1/(tblFX[Date]&lt;=[@Date]),tblFX[Rate]),XLOOKUP("CURRENT_FX_USDTHB",tblSettings[Key],tblSettings[Value]))</f>
        <v/>
      </c>
      <c r="K28" s="128">
        <f>G28*H28*J28</f>
        <v/>
      </c>
      <c r="L28" s="146" t="n">
        <v>0</v>
      </c>
      <c r="M28" s="146" t="n">
        <v>100</v>
      </c>
      <c r="N28" s="146" t="inlineStr"/>
      <c r="O28" s="142" t="inlineStr">
        <is>
          <t>USA STOCK HIS 2</t>
        </is>
      </c>
      <c r="P28" s="142" t="inlineStr">
        <is>
          <t>8-12 กันยายน 2568 — ซื้อกระจายหลายวัน</t>
        </is>
      </c>
    </row>
    <row r="29">
      <c r="B29" s="153" t="inlineStr">
        <is>
          <t>ITX-00024</t>
        </is>
      </c>
      <c r="C29" s="144" t="n">
        <v>45915</v>
      </c>
      <c r="D29" s="158" t="inlineStr">
        <is>
          <t>SCHG</t>
        </is>
      </c>
      <c r="E29" s="137" t="inlineStr">
        <is>
          <t>US</t>
        </is>
      </c>
      <c r="F29" s="137" t="inlineStr">
        <is>
          <t>Buy</t>
        </is>
      </c>
      <c r="G29" s="156" t="n">
        <v>1</v>
      </c>
      <c r="H29" s="157" t="n">
        <v>31.7072</v>
      </c>
      <c r="I29" s="137" t="inlineStr">
        <is>
          <t>USD</t>
        </is>
      </c>
      <c r="J29" s="155">
        <f>IFERROR(LOOKUP(2,1/(tblFX[Date]&lt;=[@Date]),tblFX[Rate]),XLOOKUP("CURRENT_FX_USDTHB",tblSettings[Key],tblSettings[Value]))</f>
        <v/>
      </c>
      <c r="K29" s="128">
        <f>G29*H29*J29</f>
        <v/>
      </c>
      <c r="L29" s="146" t="n">
        <v>0</v>
      </c>
      <c r="M29" s="146" t="n">
        <v>31.7072</v>
      </c>
      <c r="N29" s="146" t="inlineStr"/>
      <c r="O29" s="142" t="inlineStr">
        <is>
          <t>USA STOCK HIS 2</t>
        </is>
      </c>
      <c r="P29" s="142" t="inlineStr">
        <is>
          <t>15 กันยายน 2568 — ซื้อวันที่ 15 ก.ย. 68 เวลา 23:10-23:21 น.</t>
        </is>
      </c>
    </row>
    <row r="30">
      <c r="B30" s="153" t="inlineStr">
        <is>
          <t>ITX-00025</t>
        </is>
      </c>
      <c r="C30" s="144" t="n">
        <v>45915</v>
      </c>
      <c r="D30" s="158" t="inlineStr">
        <is>
          <t>V</t>
        </is>
      </c>
      <c r="E30" s="137" t="inlineStr">
        <is>
          <t>US</t>
        </is>
      </c>
      <c r="F30" s="137" t="inlineStr">
        <is>
          <t>Buy</t>
        </is>
      </c>
      <c r="G30" s="156" t="n">
        <v>0.2958579881656805</v>
      </c>
      <c r="H30" s="157" t="n">
        <v>339.69</v>
      </c>
      <c r="I30" s="137" t="inlineStr">
        <is>
          <t>USD</t>
        </is>
      </c>
      <c r="J30" s="155">
        <f>IFERROR(LOOKUP(2,1/(tblFX[Date]&lt;=[@Date]),tblFX[Rate]),XLOOKUP("CURRENT_FX_USDTHB",tblSettings[Key],tblSettings[Value]))</f>
        <v/>
      </c>
      <c r="K30" s="128">
        <f>G30*H30*J30</f>
        <v/>
      </c>
      <c r="L30" s="146" t="n">
        <v>0</v>
      </c>
      <c r="M30" s="146" t="n">
        <v>100.5</v>
      </c>
      <c r="N30" s="146" t="inlineStr"/>
      <c r="O30" s="142" t="inlineStr">
        <is>
          <t>USA STOCK HIS 2</t>
        </is>
      </c>
      <c r="P30" s="142" t="inlineStr">
        <is>
          <t>15 กันยายน 2568 — ซื้อวันที่ 15 ก.ย. 68 เวลา 23:10-23:21 น.</t>
        </is>
      </c>
    </row>
    <row r="31">
      <c r="B31" s="153" t="inlineStr">
        <is>
          <t>ITX-00026</t>
        </is>
      </c>
      <c r="C31" s="144" t="n">
        <v>45929</v>
      </c>
      <c r="D31" s="158" t="inlineStr">
        <is>
          <t>AMZN</t>
        </is>
      </c>
      <c r="E31" s="137" t="inlineStr">
        <is>
          <t>US</t>
        </is>
      </c>
      <c r="F31" s="137" t="inlineStr">
        <is>
          <t>Buy</t>
        </is>
      </c>
      <c r="G31" s="156" t="n">
        <v>0.09035954061209553</v>
      </c>
      <c r="H31" s="157" t="n">
        <v>221.338</v>
      </c>
      <c r="I31" s="137" t="inlineStr">
        <is>
          <t>USD</t>
        </is>
      </c>
      <c r="J31" s="155">
        <f>IFERROR(LOOKUP(2,1/(tblFX[Date]&lt;=[@Date]),tblFX[Rate]),XLOOKUP("CURRENT_FX_USDTHB",tblSettings[Key],tblSettings[Value]))</f>
        <v/>
      </c>
      <c r="K31" s="128">
        <f>G31*H31*J31</f>
        <v/>
      </c>
      <c r="L31" s="146" t="n">
        <v>0</v>
      </c>
      <c r="M31" s="146" t="n">
        <v>20</v>
      </c>
      <c r="N31" s="146" t="inlineStr"/>
      <c r="O31" s="142" t="inlineStr">
        <is>
          <t>USA STOCK HIS 2</t>
        </is>
      </c>
      <c r="P31" s="142" t="inlineStr">
        <is>
          <t>29-30 กันยายน 2568 — ซื้อวันที่ 29-30 ก.ย. 68 เวลา 21:46-21:48 น.</t>
        </is>
      </c>
    </row>
    <row r="32">
      <c r="B32" s="153" t="inlineStr">
        <is>
          <t>ITX-00027</t>
        </is>
      </c>
      <c r="C32" s="144" t="n">
        <v>45929</v>
      </c>
      <c r="D32" s="158" t="inlineStr">
        <is>
          <t>SCHD</t>
        </is>
      </c>
      <c r="E32" s="137" t="inlineStr">
        <is>
          <t>US</t>
        </is>
      </c>
      <c r="F32" s="137" t="inlineStr">
        <is>
          <t>Buy</t>
        </is>
      </c>
      <c r="G32" s="156" t="n">
        <v>0.8294013565319964</v>
      </c>
      <c r="H32" s="157" t="n">
        <v>27.128</v>
      </c>
      <c r="I32" s="137" t="inlineStr">
        <is>
          <t>USD</t>
        </is>
      </c>
      <c r="J32" s="155">
        <f>IFERROR(LOOKUP(2,1/(tblFX[Date]&lt;=[@Date]),tblFX[Rate]),XLOOKUP("CURRENT_FX_USDTHB",tblSettings[Key],tblSettings[Value]))</f>
        <v/>
      </c>
      <c r="K32" s="128">
        <f>G32*H32*J32</f>
        <v/>
      </c>
      <c r="L32" s="146" t="n">
        <v>0</v>
      </c>
      <c r="M32" s="146" t="n">
        <v>22.5</v>
      </c>
      <c r="N32" s="146" t="inlineStr"/>
      <c r="O32" s="142" t="inlineStr">
        <is>
          <t>USA STOCK HIS 2</t>
        </is>
      </c>
      <c r="P32" s="142" t="inlineStr">
        <is>
          <t>29-30 กันยายน 2568 — ซื้อวันที่ 29-30 ก.ย. 68 เวลา 21:46-21:48 น.</t>
        </is>
      </c>
    </row>
    <row r="33">
      <c r="B33" s="153" t="inlineStr">
        <is>
          <t>ITX-00028</t>
        </is>
      </c>
      <c r="C33" s="144" t="n">
        <v>45930</v>
      </c>
      <c r="D33" s="158" t="inlineStr">
        <is>
          <t>MTS-GOLD</t>
        </is>
      </c>
      <c r="E33" s="137" t="inlineStr">
        <is>
          <t>Commodity</t>
        </is>
      </c>
      <c r="F33" s="137" t="inlineStr">
        <is>
          <t>Buy</t>
        </is>
      </c>
      <c r="G33" s="156" t="n">
        <v>0.0052</v>
      </c>
      <c r="H33" s="157" t="n">
        <v>3820.91</v>
      </c>
      <c r="I33" s="137" t="inlineStr">
        <is>
          <t>USD</t>
        </is>
      </c>
      <c r="J33" s="155">
        <f>IFERROR(LOOKUP(2,1/(tblFX[Date]&lt;=[@Date]),tblFX[Rate]),XLOOKUP("CURRENT_FX_USDTHB",tblSettings[Key],tblSettings[Value]))</f>
        <v/>
      </c>
      <c r="K33" s="128">
        <f>G33*H33*J33</f>
        <v/>
      </c>
      <c r="L33" s="146" t="n">
        <v>0</v>
      </c>
      <c r="M33" s="146" t="n">
        <v>19.8687</v>
      </c>
      <c r="N33" s="146" t="inlineStr"/>
      <c r="O33" s="142" t="inlineStr">
        <is>
          <t>Dime app IMG_7097-7102</t>
        </is>
      </c>
      <c r="P33" s="142" t="inlineStr"/>
    </row>
    <row r="34">
      <c r="B34" s="153" t="inlineStr">
        <is>
          <t>ITX-00029</t>
        </is>
      </c>
      <c r="C34" s="144" t="n">
        <v>45930</v>
      </c>
      <c r="D34" s="158" t="inlineStr">
        <is>
          <t>MTS-GOLD</t>
        </is>
      </c>
      <c r="E34" s="137" t="inlineStr">
        <is>
          <t>Commodity</t>
        </is>
      </c>
      <c r="F34" s="137" t="inlineStr">
        <is>
          <t>Buy</t>
        </is>
      </c>
      <c r="G34" s="156" t="n">
        <v>0.0052</v>
      </c>
      <c r="H34" s="157" t="n">
        <v>3801.3</v>
      </c>
      <c r="I34" s="137" t="inlineStr">
        <is>
          <t>USD</t>
        </is>
      </c>
      <c r="J34" s="155">
        <f>IFERROR(LOOKUP(2,1/(tblFX[Date]&lt;=[@Date]),tblFX[Rate]),XLOOKUP("CURRENT_FX_USDTHB",tblSettings[Key],tblSettings[Value]))</f>
        <v/>
      </c>
      <c r="K34" s="128">
        <f>G34*H34*J34</f>
        <v/>
      </c>
      <c r="L34" s="146" t="n">
        <v>0</v>
      </c>
      <c r="M34" s="146" t="n">
        <v>19.7668</v>
      </c>
      <c r="N34" s="146" t="inlineStr"/>
      <c r="O34" s="142" t="inlineStr">
        <is>
          <t>Dime app IMG_7097-7102</t>
        </is>
      </c>
      <c r="P34" s="142" t="inlineStr"/>
    </row>
    <row r="35">
      <c r="B35" s="153" t="inlineStr">
        <is>
          <t>ITX-00030</t>
        </is>
      </c>
      <c r="C35" s="144" t="n">
        <v>45931</v>
      </c>
      <c r="D35" s="158" t="inlineStr">
        <is>
          <t>AMZN</t>
        </is>
      </c>
      <c r="E35" s="137" t="inlineStr">
        <is>
          <t>US</t>
        </is>
      </c>
      <c r="F35" s="137" t="inlineStr">
        <is>
          <t>Buy</t>
        </is>
      </c>
      <c r="G35" s="156" t="n">
        <v>0.07036230057262219</v>
      </c>
      <c r="H35" s="157" t="n">
        <v>222.136</v>
      </c>
      <c r="I35" s="137" t="inlineStr">
        <is>
          <t>USD</t>
        </is>
      </c>
      <c r="J35" s="155">
        <f>IFERROR(LOOKUP(2,1/(tblFX[Date]&lt;=[@Date]),tblFX[Rate]),XLOOKUP("CURRENT_FX_USDTHB",tblSettings[Key],tblSettings[Value]))</f>
        <v/>
      </c>
      <c r="K35" s="128">
        <f>G35*H35*J35</f>
        <v/>
      </c>
      <c r="L35" s="146" t="n">
        <v>0</v>
      </c>
      <c r="M35" s="146" t="n">
        <v>15.63</v>
      </c>
      <c r="N35" s="146" t="inlineStr"/>
      <c r="O35" s="142" t="inlineStr">
        <is>
          <t>USA STOCK HIS 2</t>
        </is>
      </c>
      <c r="P35" s="142" t="inlineStr">
        <is>
          <t>1-3 ตุลาคม 2568 — ซื้อวันที่ 1-3 ต.ค. 68 เวลา 22:03-00:20 น.</t>
        </is>
      </c>
    </row>
    <row r="36">
      <c r="B36" s="153" t="inlineStr">
        <is>
          <t>ITX-00031</t>
        </is>
      </c>
      <c r="C36" s="144" t="n">
        <v>45931</v>
      </c>
      <c r="D36" s="158" t="inlineStr">
        <is>
          <t>BEPC</t>
        </is>
      </c>
      <c r="E36" s="137" t="inlineStr">
        <is>
          <t>US</t>
        </is>
      </c>
      <c r="F36" s="137" t="inlineStr">
        <is>
          <t>Buy</t>
        </is>
      </c>
      <c r="G36" s="156" t="n">
        <v>0.05256976679156646</v>
      </c>
      <c r="H36" s="157" t="n">
        <v>35.762</v>
      </c>
      <c r="I36" s="137" t="inlineStr">
        <is>
          <t>USD</t>
        </is>
      </c>
      <c r="J36" s="155">
        <f>IFERROR(LOOKUP(2,1/(tblFX[Date]&lt;=[@Date]),tblFX[Rate]),XLOOKUP("CURRENT_FX_USDTHB",tblSettings[Key],tblSettings[Value]))</f>
        <v/>
      </c>
      <c r="K36" s="128">
        <f>G36*H36*J36</f>
        <v/>
      </c>
      <c r="L36" s="146" t="n">
        <v>0</v>
      </c>
      <c r="M36" s="146" t="n">
        <v>1.88</v>
      </c>
      <c r="N36" s="146" t="inlineStr"/>
      <c r="O36" s="142" t="inlineStr">
        <is>
          <t>USA STOCK HIS 2</t>
        </is>
      </c>
      <c r="P36" s="142" t="inlineStr">
        <is>
          <t>1-3 ตุลาคม 2568 — ซื้อวันที่ 1-3 ต.ค. 68 เวลา 22:03-00:20 น.</t>
        </is>
      </c>
    </row>
    <row r="37">
      <c r="B37" s="153" t="inlineStr">
        <is>
          <t>ITX-00032</t>
        </is>
      </c>
      <c r="C37" s="144" t="n">
        <v>45931</v>
      </c>
      <c r="D37" s="158" t="inlineStr">
        <is>
          <t>GOOGL</t>
        </is>
      </c>
      <c r="E37" s="137" t="inlineStr">
        <is>
          <t>US</t>
        </is>
      </c>
      <c r="F37" s="137" t="inlineStr">
        <is>
          <t>Buy</t>
        </is>
      </c>
      <c r="G37" s="156" t="n">
        <v>0.08528305654474656</v>
      </c>
      <c r="H37" s="157" t="n">
        <v>240.376</v>
      </c>
      <c r="I37" s="137" t="inlineStr">
        <is>
          <t>USD</t>
        </is>
      </c>
      <c r="J37" s="155">
        <f>IFERROR(LOOKUP(2,1/(tblFX[Date]&lt;=[@Date]),tblFX[Rate]),XLOOKUP("CURRENT_FX_USDTHB",tblSettings[Key],tblSettings[Value]))</f>
        <v/>
      </c>
      <c r="K37" s="128">
        <f>G37*H37*J37</f>
        <v/>
      </c>
      <c r="L37" s="146" t="n">
        <v>0</v>
      </c>
      <c r="M37" s="146" t="n">
        <v>20.5</v>
      </c>
      <c r="N37" s="146" t="inlineStr"/>
      <c r="O37" s="142" t="inlineStr">
        <is>
          <t>USA STOCK HIS 2</t>
        </is>
      </c>
      <c r="P37" s="142" t="inlineStr">
        <is>
          <t>1-3 ตุลาคม 2568 — ซื้อวันที่ 1-3 ต.ค. 68 เวลา 22:03-00:20 น.</t>
        </is>
      </c>
    </row>
    <row r="38">
      <c r="B38" s="153" t="inlineStr">
        <is>
          <t>ITX-00033</t>
        </is>
      </c>
      <c r="C38" s="144" t="n">
        <v>45931</v>
      </c>
      <c r="D38" s="158" t="inlineStr">
        <is>
          <t>LLY</t>
        </is>
      </c>
      <c r="E38" s="137" t="inlineStr">
        <is>
          <t>US</t>
        </is>
      </c>
      <c r="F38" s="137" t="inlineStr">
        <is>
          <t>Buy</t>
        </is>
      </c>
      <c r="G38" s="156" t="n">
        <v>0.009134644662322637</v>
      </c>
      <c r="H38" s="157" t="n">
        <v>821.05</v>
      </c>
      <c r="I38" s="137" t="inlineStr">
        <is>
          <t>USD</t>
        </is>
      </c>
      <c r="J38" s="155">
        <f>IFERROR(LOOKUP(2,1/(tblFX[Date]&lt;=[@Date]),tblFX[Rate]),XLOOKUP("CURRENT_FX_USDTHB",tblSettings[Key],tblSettings[Value]))</f>
        <v/>
      </c>
      <c r="K38" s="128">
        <f>G38*H38*J38</f>
        <v/>
      </c>
      <c r="L38" s="146" t="n">
        <v>0</v>
      </c>
      <c r="M38" s="146" t="n">
        <v>7.5</v>
      </c>
      <c r="N38" s="146" t="inlineStr"/>
      <c r="O38" s="142" t="inlineStr">
        <is>
          <t>USA STOCK HIS 2</t>
        </is>
      </c>
      <c r="P38" s="142" t="inlineStr">
        <is>
          <t>1-3 ตุลาคม 2568 — ซื้อวันที่ 1-3 ต.ค. 68 เวลา 22:03-00:20 น.</t>
        </is>
      </c>
    </row>
    <row r="39">
      <c r="B39" s="153" t="inlineStr">
        <is>
          <t>ITX-00034</t>
        </is>
      </c>
      <c r="C39" s="144" t="n">
        <v>45931</v>
      </c>
      <c r="D39" s="158" t="inlineStr">
        <is>
          <t>META</t>
        </is>
      </c>
      <c r="E39" s="137" t="inlineStr">
        <is>
          <t>US</t>
        </is>
      </c>
      <c r="F39" s="137" t="inlineStr">
        <is>
          <t>Buy</t>
        </is>
      </c>
      <c r="G39" s="156" t="n">
        <v>0.01561186001781834</v>
      </c>
      <c r="H39" s="157" t="n">
        <v>720.606</v>
      </c>
      <c r="I39" s="137" t="inlineStr">
        <is>
          <t>USD</t>
        </is>
      </c>
      <c r="J39" s="155">
        <f>IFERROR(LOOKUP(2,1/(tblFX[Date]&lt;=[@Date]),tblFX[Rate]),XLOOKUP("CURRENT_FX_USDTHB",tblSettings[Key],tblSettings[Value]))</f>
        <v/>
      </c>
      <c r="K39" s="128">
        <f>G39*H39*J39</f>
        <v/>
      </c>
      <c r="L39" s="146" t="n">
        <v>0</v>
      </c>
      <c r="M39" s="146" t="n">
        <v>11.25</v>
      </c>
      <c r="N39" s="146" t="inlineStr"/>
      <c r="O39" s="142" t="inlineStr">
        <is>
          <t>USA STOCK HIS 2</t>
        </is>
      </c>
      <c r="P39" s="142" t="inlineStr">
        <is>
          <t>1-3 ตุลาคม 2568 — ซื้อวันที่ 1-3 ต.ค. 68 เวลา 22:03-00:20 น.</t>
        </is>
      </c>
    </row>
    <row r="40">
      <c r="B40" s="153" t="inlineStr">
        <is>
          <t>ITX-00035</t>
        </is>
      </c>
      <c r="C40" s="144" t="n">
        <v>45931</v>
      </c>
      <c r="D40" s="158" t="inlineStr">
        <is>
          <t>MSFT</t>
        </is>
      </c>
      <c r="E40" s="137" t="inlineStr">
        <is>
          <t>US</t>
        </is>
      </c>
      <c r="F40" s="137" t="inlineStr">
        <is>
          <t>Buy</t>
        </is>
      </c>
      <c r="G40" s="156" t="n">
        <v>0.008515237998957953</v>
      </c>
      <c r="H40" s="157" t="n">
        <v>514.372</v>
      </c>
      <c r="I40" s="137" t="inlineStr">
        <is>
          <t>USD</t>
        </is>
      </c>
      <c r="J40" s="155">
        <f>IFERROR(LOOKUP(2,1/(tblFX[Date]&lt;=[@Date]),tblFX[Rate]),XLOOKUP("CURRENT_FX_USDTHB",tblSettings[Key],tblSettings[Value]))</f>
        <v/>
      </c>
      <c r="K40" s="128">
        <f>G40*H40*J40</f>
        <v/>
      </c>
      <c r="L40" s="146" t="n">
        <v>0</v>
      </c>
      <c r="M40" s="146" t="n">
        <v>4.38</v>
      </c>
      <c r="N40" s="146" t="inlineStr"/>
      <c r="O40" s="142" t="inlineStr">
        <is>
          <t>USA STOCK HIS 2</t>
        </is>
      </c>
      <c r="P40" s="142" t="inlineStr">
        <is>
          <t>1-3 ตุลาคม 2568 — ซื้อวันที่ 1-3 ต.ค. 68 เวลา 22:03-00:20 น.</t>
        </is>
      </c>
    </row>
    <row r="41">
      <c r="B41" s="153" t="inlineStr">
        <is>
          <t>ITX-00036</t>
        </is>
      </c>
      <c r="C41" s="144" t="n">
        <v>45931</v>
      </c>
      <c r="D41" s="158" t="inlineStr">
        <is>
          <t>NVDA</t>
        </is>
      </c>
      <c r="E41" s="137" t="inlineStr">
        <is>
          <t>US</t>
        </is>
      </c>
      <c r="F41" s="137" t="inlineStr">
        <is>
          <t>Buy</t>
        </is>
      </c>
      <c r="G41" s="156" t="n">
        <v>0.07274824346059426</v>
      </c>
      <c r="H41" s="157" t="n">
        <v>189.008</v>
      </c>
      <c r="I41" s="137" t="inlineStr">
        <is>
          <t>USD</t>
        </is>
      </c>
      <c r="J41" s="155">
        <f>IFERROR(LOOKUP(2,1/(tblFX[Date]&lt;=[@Date]),tblFX[Rate]),XLOOKUP("CURRENT_FX_USDTHB",tblSettings[Key],tblSettings[Value]))</f>
        <v/>
      </c>
      <c r="K41" s="128">
        <f>G41*H41*J41</f>
        <v/>
      </c>
      <c r="L41" s="146" t="n">
        <v>0</v>
      </c>
      <c r="M41" s="146" t="n">
        <v>13.75</v>
      </c>
      <c r="N41" s="146" t="inlineStr"/>
      <c r="O41" s="142" t="inlineStr">
        <is>
          <t>USA STOCK HIS 2</t>
        </is>
      </c>
      <c r="P41" s="142" t="inlineStr">
        <is>
          <t>1-3 ตุลาคม 2568 — ซื้อวันที่ 1-3 ต.ค. 68 เวลา 22:03-00:20 น.</t>
        </is>
      </c>
    </row>
    <row r="42">
      <c r="B42" s="153" t="inlineStr">
        <is>
          <t>ITX-00037</t>
        </is>
      </c>
      <c r="C42" s="144" t="n">
        <v>45931</v>
      </c>
      <c r="D42" s="158" t="inlineStr">
        <is>
          <t>SCHG</t>
        </is>
      </c>
      <c r="E42" s="137" t="inlineStr">
        <is>
          <t>US</t>
        </is>
      </c>
      <c r="F42" s="137" t="inlineStr">
        <is>
          <t>Buy</t>
        </is>
      </c>
      <c r="G42" s="156" t="n">
        <v>0.4279755976095618</v>
      </c>
      <c r="H42" s="157" t="n">
        <v>32.128</v>
      </c>
      <c r="I42" s="137" t="inlineStr">
        <is>
          <t>USD</t>
        </is>
      </c>
      <c r="J42" s="155">
        <f>IFERROR(LOOKUP(2,1/(tblFX[Date]&lt;=[@Date]),tblFX[Rate]),XLOOKUP("CURRENT_FX_USDTHB",tblSettings[Key],tblSettings[Value]))</f>
        <v/>
      </c>
      <c r="K42" s="128">
        <f>G42*H42*J42</f>
        <v/>
      </c>
      <c r="L42" s="146" t="n">
        <v>0</v>
      </c>
      <c r="M42" s="146" t="n">
        <v>13.75</v>
      </c>
      <c r="N42" s="146" t="inlineStr"/>
      <c r="O42" s="142" t="inlineStr">
        <is>
          <t>USA STOCK HIS 2</t>
        </is>
      </c>
      <c r="P42" s="142" t="inlineStr">
        <is>
          <t>1-3 ตุลาคม 2568 — ซื้อวันที่ 1-3 ต.ค. 68 เวลา 22:03-00:20 น.</t>
        </is>
      </c>
    </row>
    <row r="43">
      <c r="B43" s="153" t="inlineStr">
        <is>
          <t>ITX-00038</t>
        </is>
      </c>
      <c r="C43" s="144" t="n">
        <v>45931</v>
      </c>
      <c r="D43" s="158" t="inlineStr">
        <is>
          <t>UNH</t>
        </is>
      </c>
      <c r="E43" s="137" t="inlineStr">
        <is>
          <t>US</t>
        </is>
      </c>
      <c r="F43" s="137" t="inlineStr">
        <is>
          <t>Buy</t>
        </is>
      </c>
      <c r="G43" s="156" t="n">
        <v>0.04274697778867034</v>
      </c>
      <c r="H43" s="157" t="n">
        <v>350.902</v>
      </c>
      <c r="I43" s="137" t="inlineStr">
        <is>
          <t>USD</t>
        </is>
      </c>
      <c r="J43" s="155">
        <f>IFERROR(LOOKUP(2,1/(tblFX[Date]&lt;=[@Date]),tblFX[Rate]),XLOOKUP("CURRENT_FX_USDTHB",tblSettings[Key],tblSettings[Value]))</f>
        <v/>
      </c>
      <c r="K43" s="128">
        <f>G43*H43*J43</f>
        <v/>
      </c>
      <c r="L43" s="146" t="n">
        <v>0</v>
      </c>
      <c r="M43" s="146" t="n">
        <v>15</v>
      </c>
      <c r="N43" s="146" t="inlineStr"/>
      <c r="O43" s="142" t="inlineStr">
        <is>
          <t>USA STOCK HIS 2</t>
        </is>
      </c>
      <c r="P43" s="142" t="inlineStr">
        <is>
          <t>1-3 ตุลาคม 2568 — ซื้อวันที่ 1-3 ต.ค. 68 เวลา 22:03-00:20 น.</t>
        </is>
      </c>
    </row>
    <row r="44">
      <c r="B44" s="153" t="inlineStr">
        <is>
          <t>ITX-00039</t>
        </is>
      </c>
      <c r="C44" s="144" t="n">
        <v>45931</v>
      </c>
      <c r="D44" s="158" t="inlineStr">
        <is>
          <t>V</t>
        </is>
      </c>
      <c r="E44" s="137" t="inlineStr">
        <is>
          <t>US</t>
        </is>
      </c>
      <c r="F44" s="137" t="inlineStr">
        <is>
          <t>Buy</t>
        </is>
      </c>
      <c r="G44" s="156" t="n">
        <v>0.009050584962727782</v>
      </c>
      <c r="H44" s="157" t="n">
        <v>345.834</v>
      </c>
      <c r="I44" s="137" t="inlineStr">
        <is>
          <t>USD</t>
        </is>
      </c>
      <c r="J44" s="155">
        <f>IFERROR(LOOKUP(2,1/(tblFX[Date]&lt;=[@Date]),tblFX[Rate]),XLOOKUP("CURRENT_FX_USDTHB",tblSettings[Key],tblSettings[Value]))</f>
        <v/>
      </c>
      <c r="K44" s="128">
        <f>G44*H44*J44</f>
        <v/>
      </c>
      <c r="L44" s="146" t="n">
        <v>0</v>
      </c>
      <c r="M44" s="146" t="n">
        <v>3.13</v>
      </c>
      <c r="N44" s="146" t="inlineStr"/>
      <c r="O44" s="142" t="inlineStr">
        <is>
          <t>USA STOCK HIS 2</t>
        </is>
      </c>
      <c r="P44" s="142" t="inlineStr">
        <is>
          <t>1-3 ตุลาคม 2568 — ซื้อวันที่ 1-3 ต.ค. 68 เวลา 22:03-00:20 น.</t>
        </is>
      </c>
    </row>
    <row r="45">
      <c r="B45" s="153" t="inlineStr">
        <is>
          <t>ITX-00040</t>
        </is>
      </c>
      <c r="C45" s="144" t="n">
        <v>45932</v>
      </c>
      <c r="D45" s="158" t="inlineStr">
        <is>
          <t>JEPQ</t>
        </is>
      </c>
      <c r="E45" s="137" t="inlineStr">
        <is>
          <t>US</t>
        </is>
      </c>
      <c r="F45" s="137" t="inlineStr">
        <is>
          <t>Buy</t>
        </is>
      </c>
      <c r="G45" s="156" t="n">
        <v>0.1090184</v>
      </c>
      <c r="H45" s="157" t="n">
        <v>57.238</v>
      </c>
      <c r="I45" s="137" t="inlineStr">
        <is>
          <t>USD</t>
        </is>
      </c>
      <c r="J45" s="155">
        <f>IFERROR(LOOKUP(2,1/(tblFX[Date]&lt;=[@Date]),tblFX[Rate]),XLOOKUP("CURRENT_FX_USDTHB",tblSettings[Key],tblSettings[Value]))</f>
        <v/>
      </c>
      <c r="K45" s="128">
        <f>G45*H45*J45</f>
        <v/>
      </c>
      <c r="L45" s="146" t="n">
        <v>0</v>
      </c>
      <c r="M45" s="146" t="n">
        <v>6.25</v>
      </c>
      <c r="N45" s="146" t="inlineStr"/>
      <c r="O45" s="142" t="inlineStr">
        <is>
          <t>USA STOCK HIS 2</t>
        </is>
      </c>
      <c r="P45" s="142" t="inlineStr">
        <is>
          <t>2 ตุลาคม 2568 — ซื้อเวลา 23:49:47 น. (พบจากภาพ IMG_7038, IMG_5436)</t>
        </is>
      </c>
    </row>
    <row r="46">
      <c r="B46" s="153" t="inlineStr">
        <is>
          <t>ITX-00041</t>
        </is>
      </c>
      <c r="C46" s="144" t="n">
        <v>45933</v>
      </c>
      <c r="D46" s="158" t="inlineStr">
        <is>
          <t>MTS-GOLD</t>
        </is>
      </c>
      <c r="E46" s="137" t="inlineStr">
        <is>
          <t>Commodity</t>
        </is>
      </c>
      <c r="F46" s="137" t="inlineStr">
        <is>
          <t>Buy</t>
        </is>
      </c>
      <c r="G46" s="156" t="n">
        <v>0.0159</v>
      </c>
      <c r="H46" s="157" t="n">
        <v>3847.49</v>
      </c>
      <c r="I46" s="137" t="inlineStr">
        <is>
          <t>USD</t>
        </is>
      </c>
      <c r="J46" s="155">
        <f>IFERROR(LOOKUP(2,1/(tblFX[Date]&lt;=[@Date]),tblFX[Rate]),XLOOKUP("CURRENT_FX_USDTHB",tblSettings[Key],tblSettings[Value]))</f>
        <v/>
      </c>
      <c r="K46" s="128">
        <f>G46*H46*J46</f>
        <v/>
      </c>
      <c r="L46" s="146" t="n">
        <v>0</v>
      </c>
      <c r="M46" s="146" t="n">
        <v>61.1751</v>
      </c>
      <c r="N46" s="146" t="inlineStr"/>
      <c r="O46" s="142" t="inlineStr">
        <is>
          <t>Dime app IMG_7097-7102</t>
        </is>
      </c>
      <c r="P46" s="142" t="inlineStr"/>
    </row>
    <row r="47">
      <c r="B47" s="153" t="inlineStr">
        <is>
          <t>ITX-00042</t>
        </is>
      </c>
      <c r="C47" s="144" t="n">
        <v>45938</v>
      </c>
      <c r="D47" s="158" t="inlineStr">
        <is>
          <t>AAPL</t>
        </is>
      </c>
      <c r="E47" s="137" t="inlineStr">
        <is>
          <t>US</t>
        </is>
      </c>
      <c r="F47" s="137" t="inlineStr">
        <is>
          <t>Buy</t>
        </is>
      </c>
      <c r="G47" s="156" t="n">
        <v>0.08115170499732199</v>
      </c>
      <c r="H47" s="157" t="n">
        <v>246.452</v>
      </c>
      <c r="I47" s="137" t="inlineStr">
        <is>
          <t>USD</t>
        </is>
      </c>
      <c r="J47" s="155">
        <f>IFERROR(LOOKUP(2,1/(tblFX[Date]&lt;=[@Date]),tblFX[Rate]),XLOOKUP("CURRENT_FX_USDTHB",tblSettings[Key],tblSettings[Value]))</f>
        <v/>
      </c>
      <c r="K47" s="128">
        <f>G47*H47*J47</f>
        <v/>
      </c>
      <c r="L47" s="146" t="n">
        <v>0</v>
      </c>
      <c r="M47" s="146" t="n">
        <v>20</v>
      </c>
      <c r="N47" s="146" t="inlineStr"/>
      <c r="O47" s="142" t="inlineStr">
        <is>
          <t>USA STOCK HIS 2</t>
        </is>
      </c>
      <c r="P47" s="142" t="inlineStr">
        <is>
          <t>8-21 ตุลาคม 2568 — ซื้อกระจายหลายวัน</t>
        </is>
      </c>
    </row>
    <row r="48">
      <c r="B48" s="153" t="inlineStr">
        <is>
          <t>ITX-00043</t>
        </is>
      </c>
      <c r="C48" s="144" t="n">
        <v>45938</v>
      </c>
      <c r="D48" s="158" t="inlineStr">
        <is>
          <t>AMPX</t>
        </is>
      </c>
      <c r="E48" s="137" t="inlineStr">
        <is>
          <t>US</t>
        </is>
      </c>
      <c r="F48" s="137" t="inlineStr">
        <is>
          <t>Buy</t>
        </is>
      </c>
      <c r="G48" s="156" t="n">
        <v>1</v>
      </c>
      <c r="H48" s="157" t="n">
        <v>12.9171</v>
      </c>
      <c r="I48" s="137" t="inlineStr">
        <is>
          <t>USD</t>
        </is>
      </c>
      <c r="J48" s="155">
        <f>IFERROR(LOOKUP(2,1/(tblFX[Date]&lt;=[@Date]),tblFX[Rate]),XLOOKUP("CURRENT_FX_USDTHB",tblSettings[Key],tblSettings[Value]))</f>
        <v/>
      </c>
      <c r="K48" s="128">
        <f>G48*H48*J48</f>
        <v/>
      </c>
      <c r="L48" s="146" t="n">
        <v>0</v>
      </c>
      <c r="M48" s="146" t="n">
        <v>12.9171</v>
      </c>
      <c r="N48" s="146" t="inlineStr"/>
      <c r="O48" s="142" t="inlineStr">
        <is>
          <t>USA STOCK HIS 2</t>
        </is>
      </c>
      <c r="P48" s="142" t="inlineStr">
        <is>
          <t>8-21 ตุลาคม 2568 — ซื้อกระจายหลายวัน</t>
        </is>
      </c>
    </row>
    <row r="49">
      <c r="B49" s="153" t="inlineStr">
        <is>
          <t>ITX-00044</t>
        </is>
      </c>
      <c r="C49" s="144" t="n">
        <v>45938</v>
      </c>
      <c r="D49" s="158" t="inlineStr">
        <is>
          <t>PRCT</t>
        </is>
      </c>
      <c r="E49" s="137" t="inlineStr">
        <is>
          <t>US</t>
        </is>
      </c>
      <c r="F49" s="137" t="inlineStr">
        <is>
          <t>Buy</t>
        </is>
      </c>
      <c r="G49" s="156" t="n">
        <v>0.3058727569331158</v>
      </c>
      <c r="H49" s="157" t="n">
        <v>34.328</v>
      </c>
      <c r="I49" s="137" t="inlineStr">
        <is>
          <t>USD</t>
        </is>
      </c>
      <c r="J49" s="155">
        <f>IFERROR(LOOKUP(2,1/(tblFX[Date]&lt;=[@Date]),tblFX[Rate]),XLOOKUP("CURRENT_FX_USDTHB",tblSettings[Key],tblSettings[Value]))</f>
        <v/>
      </c>
      <c r="K49" s="128">
        <f>G49*H49*J49</f>
        <v/>
      </c>
      <c r="L49" s="146" t="n">
        <v>0</v>
      </c>
      <c r="M49" s="146" t="n">
        <v>10.5</v>
      </c>
      <c r="N49" s="146" t="inlineStr"/>
      <c r="O49" s="142" t="inlineStr">
        <is>
          <t>USA STOCK HIS 2</t>
        </is>
      </c>
      <c r="P49" s="142" t="inlineStr">
        <is>
          <t>8-21 ตุลาคม 2568 — ซื้อกระจายหลายวัน</t>
        </is>
      </c>
    </row>
    <row r="50">
      <c r="B50" s="153" t="inlineStr">
        <is>
          <t>ITX-00045</t>
        </is>
      </c>
      <c r="C50" s="144" t="n">
        <v>45940</v>
      </c>
      <c r="D50" s="158" t="inlineStr">
        <is>
          <t>MTS-GOLD</t>
        </is>
      </c>
      <c r="E50" s="137" t="inlineStr">
        <is>
          <t>Commodity</t>
        </is>
      </c>
      <c r="F50" s="137" t="inlineStr">
        <is>
          <t>Buy</t>
        </is>
      </c>
      <c r="G50" s="156" t="n">
        <v>0.0025</v>
      </c>
      <c r="H50" s="157" t="n">
        <v>3980.32</v>
      </c>
      <c r="I50" s="137" t="inlineStr">
        <is>
          <t>USD</t>
        </is>
      </c>
      <c r="J50" s="155">
        <f>IFERROR(LOOKUP(2,1/(tblFX[Date]&lt;=[@Date]),tblFX[Rate]),XLOOKUP("CURRENT_FX_USDTHB",tblSettings[Key],tblSettings[Value]))</f>
        <v/>
      </c>
      <c r="K50" s="128">
        <f>G50*H50*J50</f>
        <v/>
      </c>
      <c r="L50" s="146" t="n">
        <v>0</v>
      </c>
      <c r="M50" s="146" t="n">
        <v>9.950799999999999</v>
      </c>
      <c r="N50" s="146" t="inlineStr"/>
      <c r="O50" s="142" t="inlineStr">
        <is>
          <t>Dime app IMG_7097-7102</t>
        </is>
      </c>
      <c r="P50" s="142" t="inlineStr"/>
    </row>
    <row r="51">
      <c r="B51" s="153" t="inlineStr">
        <is>
          <t>ITX-00046</t>
        </is>
      </c>
      <c r="C51" s="144" t="n">
        <v>45946</v>
      </c>
      <c r="D51" s="158" t="inlineStr">
        <is>
          <t>MTS-GOLD</t>
        </is>
      </c>
      <c r="E51" s="137" t="inlineStr">
        <is>
          <t>Commodity</t>
        </is>
      </c>
      <c r="F51" s="137" t="inlineStr">
        <is>
          <t>Buy</t>
        </is>
      </c>
      <c r="G51" s="156" t="n">
        <v>0.0023</v>
      </c>
      <c r="H51" s="157" t="n">
        <v>4268.83</v>
      </c>
      <c r="I51" s="137" t="inlineStr">
        <is>
          <t>USD</t>
        </is>
      </c>
      <c r="J51" s="155">
        <f>IFERROR(LOOKUP(2,1/(tblFX[Date]&lt;=[@Date]),tblFX[Rate]),XLOOKUP("CURRENT_FX_USDTHB",tblSettings[Key],tblSettings[Value]))</f>
        <v/>
      </c>
      <c r="K51" s="128">
        <f>G51*H51*J51</f>
        <v/>
      </c>
      <c r="L51" s="146" t="n">
        <v>0</v>
      </c>
      <c r="M51" s="146" t="n">
        <v>9.818300000000001</v>
      </c>
      <c r="N51" s="146" t="inlineStr"/>
      <c r="O51" s="142" t="inlineStr">
        <is>
          <t>Dime app IMG_7097-7102</t>
        </is>
      </c>
      <c r="P51" s="142" t="inlineStr"/>
    </row>
    <row r="52">
      <c r="B52" s="153" t="inlineStr">
        <is>
          <t>ITX-00047</t>
        </is>
      </c>
      <c r="C52" s="144" t="n">
        <v>45951</v>
      </c>
      <c r="D52" s="158" t="inlineStr">
        <is>
          <t>GOOGL</t>
        </is>
      </c>
      <c r="E52" s="137" t="inlineStr">
        <is>
          <t>US</t>
        </is>
      </c>
      <c r="F52" s="137" t="inlineStr">
        <is>
          <t>Buy</t>
        </is>
      </c>
      <c r="G52" s="156" t="n">
        <v>0.4864246974033028</v>
      </c>
      <c r="H52" s="157" t="n">
        <v>246.698</v>
      </c>
      <c r="I52" s="137" t="inlineStr">
        <is>
          <t>USD</t>
        </is>
      </c>
      <c r="J52" s="155">
        <f>IFERROR(LOOKUP(2,1/(tblFX[Date]&lt;=[@Date]),tblFX[Rate]),XLOOKUP("CURRENT_FX_USDTHB",tblSettings[Key],tblSettings[Value]))</f>
        <v/>
      </c>
      <c r="K52" s="128">
        <f>G52*H52*J52</f>
        <v/>
      </c>
      <c r="L52" s="146" t="n">
        <v>0</v>
      </c>
      <c r="M52" s="146" t="n">
        <v>120</v>
      </c>
      <c r="N52" s="146" t="inlineStr"/>
      <c r="O52" s="142" t="inlineStr">
        <is>
          <t>USA STOCK HIS 2</t>
        </is>
      </c>
      <c r="P52" s="142" t="inlineStr">
        <is>
          <t>21 ตุลาคม 2568 (ช่วงค่ำ) — ซื้อวันที่ 21 ต.ค. 68 เวลา 22:34-22:37 น.</t>
        </is>
      </c>
    </row>
    <row r="53">
      <c r="B53" s="153" t="inlineStr">
        <is>
          <t>ITX-00048</t>
        </is>
      </c>
      <c r="C53" s="144" t="n">
        <v>45951</v>
      </c>
      <c r="D53" s="158" t="inlineStr">
        <is>
          <t>JEPQ</t>
        </is>
      </c>
      <c r="E53" s="137" t="inlineStr">
        <is>
          <t>US</t>
        </is>
      </c>
      <c r="F53" s="137" t="inlineStr">
        <is>
          <t>Sell</t>
        </is>
      </c>
      <c r="G53" s="156" t="n">
        <v>7.10902</v>
      </c>
      <c r="H53" s="157" t="n">
        <v>57.953</v>
      </c>
      <c r="I53" s="137" t="inlineStr">
        <is>
          <t>USD</t>
        </is>
      </c>
      <c r="J53" s="155">
        <f>IFERROR(LOOKUP(2,1/(tblFX[Date]&lt;=[@Date]),tblFX[Rate]),XLOOKUP("CURRENT_FX_USDTHB",tblSettings[Key],tblSettings[Value]))</f>
        <v/>
      </c>
      <c r="K53" s="128">
        <f>G53*H53*J53</f>
        <v/>
      </c>
      <c r="L53" s="146" t="n">
        <v>0</v>
      </c>
      <c r="M53" s="146" t="n">
        <v>394.320988654</v>
      </c>
      <c r="N53" s="146" t="n">
        <v>17.668</v>
      </c>
      <c r="O53" s="142" t="inlineStr">
        <is>
          <t>USA STOCK HIS 2</t>
        </is>
      </c>
      <c r="P53" s="142" t="inlineStr">
        <is>
          <t>Average Cost Method</t>
        </is>
      </c>
    </row>
    <row r="54">
      <c r="B54" s="153" t="inlineStr">
        <is>
          <t>ITX-00049</t>
        </is>
      </c>
      <c r="C54" s="144" t="n">
        <v>45951</v>
      </c>
      <c r="D54" s="158" t="inlineStr">
        <is>
          <t>MSFT</t>
        </is>
      </c>
      <c r="E54" s="137" t="inlineStr">
        <is>
          <t>US</t>
        </is>
      </c>
      <c r="F54" s="137" t="inlineStr">
        <is>
          <t>Buy</t>
        </is>
      </c>
      <c r="G54" s="156" t="n">
        <v>0.135626322356643</v>
      </c>
      <c r="H54" s="157" t="n">
        <v>516.124</v>
      </c>
      <c r="I54" s="137" t="inlineStr">
        <is>
          <t>USD</t>
        </is>
      </c>
      <c r="J54" s="155">
        <f>IFERROR(LOOKUP(2,1/(tblFX[Date]&lt;=[@Date]),tblFX[Rate]),XLOOKUP("CURRENT_FX_USDTHB",tblSettings[Key],tblSettings[Value]))</f>
        <v/>
      </c>
      <c r="K54" s="128">
        <f>G54*H54*J54</f>
        <v/>
      </c>
      <c r="L54" s="146" t="n">
        <v>0</v>
      </c>
      <c r="M54" s="146" t="n">
        <v>70</v>
      </c>
      <c r="N54" s="146" t="inlineStr"/>
      <c r="O54" s="142" t="inlineStr">
        <is>
          <t>USA STOCK HIS 2</t>
        </is>
      </c>
      <c r="P54" s="142" t="inlineStr">
        <is>
          <t>21 ตุลาคม 2568 (ช่วงค่ำ) — ซื้อวันที่ 21 ต.ค. 68 เวลา 22:34-22:37 น.</t>
        </is>
      </c>
    </row>
    <row r="55">
      <c r="B55" s="153" t="inlineStr">
        <is>
          <t>ITX-00050</t>
        </is>
      </c>
      <c r="C55" s="144" t="n">
        <v>45951</v>
      </c>
      <c r="D55" s="158" t="inlineStr">
        <is>
          <t>PRCT</t>
        </is>
      </c>
      <c r="E55" s="137" t="inlineStr">
        <is>
          <t>US</t>
        </is>
      </c>
      <c r="F55" s="137" t="inlineStr">
        <is>
          <t>Buy</t>
        </is>
      </c>
      <c r="G55" s="156" t="n">
        <v>1</v>
      </c>
      <c r="H55" s="157" t="n">
        <v>34.8679</v>
      </c>
      <c r="I55" s="137" t="inlineStr">
        <is>
          <t>USD</t>
        </is>
      </c>
      <c r="J55" s="155">
        <f>IFERROR(LOOKUP(2,1/(tblFX[Date]&lt;=[@Date]),tblFX[Rate]),XLOOKUP("CURRENT_FX_USDTHB",tblSettings[Key],tblSettings[Value]))</f>
        <v/>
      </c>
      <c r="K55" s="128">
        <f>G55*H55*J55</f>
        <v/>
      </c>
      <c r="L55" s="146" t="n">
        <v>0</v>
      </c>
      <c r="M55" s="146" t="n">
        <v>34.8679</v>
      </c>
      <c r="N55" s="146" t="inlineStr"/>
      <c r="O55" s="142" t="inlineStr">
        <is>
          <t>USA STOCK HIS 2</t>
        </is>
      </c>
      <c r="P55" s="142" t="inlineStr">
        <is>
          <t>21 ตุลาคม 2568 (ช่วงค่ำ) — ซื้อวันที่ 21 ต.ค. 68 เวลา 22:34-22:37 น.</t>
        </is>
      </c>
    </row>
    <row r="56">
      <c r="B56" s="153" t="inlineStr">
        <is>
          <t>ITX-00051</t>
        </is>
      </c>
      <c r="C56" s="144" t="n">
        <v>45951</v>
      </c>
      <c r="D56" s="158" t="inlineStr">
        <is>
          <t>SCHG</t>
        </is>
      </c>
      <c r="E56" s="137" t="inlineStr">
        <is>
          <t>US</t>
        </is>
      </c>
      <c r="F56" s="137" t="inlineStr">
        <is>
          <t>Buy</t>
        </is>
      </c>
      <c r="G56" s="156" t="n">
        <v>2</v>
      </c>
      <c r="H56" s="157" t="n">
        <v>32.355</v>
      </c>
      <c r="I56" s="137" t="inlineStr">
        <is>
          <t>USD</t>
        </is>
      </c>
      <c r="J56" s="155">
        <f>IFERROR(LOOKUP(2,1/(tblFX[Date]&lt;=[@Date]),tblFX[Rate]),XLOOKUP("CURRENT_FX_USDTHB",tblSettings[Key],tblSettings[Value]))</f>
        <v/>
      </c>
      <c r="K56" s="128">
        <f>G56*H56*J56</f>
        <v/>
      </c>
      <c r="L56" s="146" t="n">
        <v>0</v>
      </c>
      <c r="M56" s="146" t="n">
        <v>64.70999999999999</v>
      </c>
      <c r="N56" s="146" t="inlineStr"/>
      <c r="O56" s="142" t="inlineStr">
        <is>
          <t>USA STOCK HIS 2</t>
        </is>
      </c>
      <c r="P56" s="142" t="inlineStr">
        <is>
          <t>21 ตุลาคม 2568 (ช่วงค่ำ) — ซื้อวันที่ 21 ต.ค. 68 เวลา 22:34-22:37 น.</t>
        </is>
      </c>
    </row>
    <row r="57">
      <c r="B57" s="153" t="inlineStr">
        <is>
          <t>ITX-00052</t>
        </is>
      </c>
      <c r="C57" s="144" t="n">
        <v>45951</v>
      </c>
      <c r="D57" s="158" t="inlineStr">
        <is>
          <t>UNH</t>
        </is>
      </c>
      <c r="E57" s="137" t="inlineStr">
        <is>
          <t>US</t>
        </is>
      </c>
      <c r="F57" s="137" t="inlineStr">
        <is>
          <t>Buy</t>
        </is>
      </c>
      <c r="G57" s="156" t="n">
        <v>0.217419663434361</v>
      </c>
      <c r="H57" s="157" t="n">
        <v>367.952</v>
      </c>
      <c r="I57" s="137" t="inlineStr">
        <is>
          <t>USD</t>
        </is>
      </c>
      <c r="J57" s="155">
        <f>IFERROR(LOOKUP(2,1/(tblFX[Date]&lt;=[@Date]),tblFX[Rate]),XLOOKUP("CURRENT_FX_USDTHB",tblSettings[Key],tblSettings[Value]))</f>
        <v/>
      </c>
      <c r="K57" s="128">
        <f>G57*H57*J57</f>
        <v/>
      </c>
      <c r="L57" s="146" t="n">
        <v>0</v>
      </c>
      <c r="M57" s="146" t="n">
        <v>80</v>
      </c>
      <c r="N57" s="146" t="inlineStr"/>
      <c r="O57" s="142" t="inlineStr">
        <is>
          <t>USA STOCK HIS 2</t>
        </is>
      </c>
      <c r="P57" s="142" t="inlineStr">
        <is>
          <t>21 ตุลาคม 2568 (ช่วงค่ำ) — ซื้อวันที่ 21 ต.ค. 68 เวลา 22:34-22:37 น.</t>
        </is>
      </c>
    </row>
    <row r="58">
      <c r="B58" s="153" t="inlineStr">
        <is>
          <t>ITX-00053</t>
        </is>
      </c>
      <c r="C58" s="144" t="n">
        <v>45958</v>
      </c>
      <c r="D58" s="158" t="inlineStr">
        <is>
          <t>MTS-GOLD</t>
        </is>
      </c>
      <c r="E58" s="137" t="inlineStr">
        <is>
          <t>Commodity</t>
        </is>
      </c>
      <c r="F58" s="137" t="inlineStr">
        <is>
          <t>Sell</t>
        </is>
      </c>
      <c r="G58" s="156" t="n">
        <v>0.0311</v>
      </c>
      <c r="H58" s="157" t="n">
        <v>3944.48</v>
      </c>
      <c r="I58" s="137" t="inlineStr">
        <is>
          <t>USD</t>
        </is>
      </c>
      <c r="J58" s="155">
        <f>IFERROR(LOOKUP(2,1/(tblFX[Date]&lt;=[@Date]),tblFX[Rate]),XLOOKUP("CURRENT_FX_USDTHB",tblSettings[Key],tblSettings[Value]))</f>
        <v/>
      </c>
      <c r="K58" s="128">
        <f>G58*H58*J58</f>
        <v/>
      </c>
      <c r="L58" s="146" t="n">
        <v>0</v>
      </c>
      <c r="M58" s="146" t="n">
        <v>120.5797</v>
      </c>
      <c r="N58" s="146" t="n">
        <v>2.0936</v>
      </c>
      <c r="O58" s="142" t="inlineStr">
        <is>
          <t>Dime app IMG_7097-7102</t>
        </is>
      </c>
      <c r="P58" s="142" t="inlineStr"/>
    </row>
    <row r="59">
      <c r="B59" s="153" t="inlineStr">
        <is>
          <t>ITX-00054</t>
        </is>
      </c>
      <c r="C59" s="144" t="n">
        <v>45960</v>
      </c>
      <c r="D59" s="158" t="inlineStr">
        <is>
          <t>LLY</t>
        </is>
      </c>
      <c r="E59" s="137" t="inlineStr">
        <is>
          <t>US</t>
        </is>
      </c>
      <c r="F59" s="137" t="inlineStr">
        <is>
          <t>Buy</t>
        </is>
      </c>
      <c r="G59" s="156" t="n">
        <v>0.005902490851139181</v>
      </c>
      <c r="H59" s="157" t="n">
        <v>847.1</v>
      </c>
      <c r="I59" s="137" t="inlineStr">
        <is>
          <t>USD</t>
        </is>
      </c>
      <c r="J59" s="155">
        <f>IFERROR(LOOKUP(2,1/(tblFX[Date]&lt;=[@Date]),tblFX[Rate]),XLOOKUP("CURRENT_FX_USDTHB",tblSettings[Key],tblSettings[Value]))</f>
        <v/>
      </c>
      <c r="K59" s="128">
        <f>G59*H59*J59</f>
        <v/>
      </c>
      <c r="L59" s="146" t="n">
        <v>0</v>
      </c>
      <c r="M59" s="146" t="n">
        <v>5</v>
      </c>
      <c r="N59" s="146" t="inlineStr"/>
      <c r="O59" s="142" t="inlineStr">
        <is>
          <t>USA STOCK HIS 2</t>
        </is>
      </c>
      <c r="P59" s="142" t="inlineStr">
        <is>
          <t>30 ตุลาคม 2568 — ซื้อวันที่ 30 ต.ค. 68 เวลา 23:18-23:34 น.</t>
        </is>
      </c>
    </row>
    <row r="60">
      <c r="B60" s="153" t="inlineStr">
        <is>
          <t>ITX-00055</t>
        </is>
      </c>
      <c r="C60" s="144" t="n">
        <v>45960</v>
      </c>
      <c r="D60" s="158" t="inlineStr">
        <is>
          <t>META</t>
        </is>
      </c>
      <c r="E60" s="137" t="inlineStr">
        <is>
          <t>US</t>
        </is>
      </c>
      <c r="F60" s="137" t="inlineStr">
        <is>
          <t>Buy</t>
        </is>
      </c>
      <c r="G60" s="156" t="n">
        <v>0.02943297376050389</v>
      </c>
      <c r="H60" s="157" t="n">
        <v>679.51</v>
      </c>
      <c r="I60" s="137" t="inlineStr">
        <is>
          <t>USD</t>
        </is>
      </c>
      <c r="J60" s="155">
        <f>IFERROR(LOOKUP(2,1/(tblFX[Date]&lt;=[@Date]),tblFX[Rate]),XLOOKUP("CURRENT_FX_USDTHB",tblSettings[Key],tblSettings[Value]))</f>
        <v/>
      </c>
      <c r="K60" s="128">
        <f>G60*H60*J60</f>
        <v/>
      </c>
      <c r="L60" s="146" t="n">
        <v>0</v>
      </c>
      <c r="M60" s="146" t="n">
        <v>20</v>
      </c>
      <c r="N60" s="146" t="inlineStr"/>
      <c r="O60" s="142" t="inlineStr">
        <is>
          <t>USA STOCK HIS 2</t>
        </is>
      </c>
      <c r="P60" s="142" t="inlineStr">
        <is>
          <t>30 ตุลาคม 2568 — ซื้อวันที่ 30 ต.ค. 68 เวลา 23:18-23:34 น.</t>
        </is>
      </c>
    </row>
    <row r="61">
      <c r="B61" s="153" t="inlineStr">
        <is>
          <t>ITX-00056</t>
        </is>
      </c>
      <c r="C61" s="144" t="n">
        <v>45960</v>
      </c>
      <c r="D61" s="158" t="inlineStr">
        <is>
          <t>MTS-GOLD</t>
        </is>
      </c>
      <c r="E61" s="137" t="inlineStr">
        <is>
          <t>Commodity</t>
        </is>
      </c>
      <c r="F61" s="137" t="inlineStr">
        <is>
          <t>Buy</t>
        </is>
      </c>
      <c r="G61" s="156" t="n">
        <v>0.0203</v>
      </c>
      <c r="H61" s="157" t="n">
        <v>3935.6</v>
      </c>
      <c r="I61" s="137" t="inlineStr">
        <is>
          <t>USD</t>
        </is>
      </c>
      <c r="J61" s="155">
        <f>IFERROR(LOOKUP(2,1/(tblFX[Date]&lt;=[@Date]),tblFX[Rate]),XLOOKUP("CURRENT_FX_USDTHB",tblSettings[Key],tblSettings[Value]))</f>
        <v/>
      </c>
      <c r="K61" s="128">
        <f>G61*H61*J61</f>
        <v/>
      </c>
      <c r="L61" s="146" t="n">
        <v>0</v>
      </c>
      <c r="M61" s="146" t="n">
        <v>79.8927</v>
      </c>
      <c r="N61" s="146" t="inlineStr"/>
      <c r="O61" s="142" t="inlineStr">
        <is>
          <t>Dime app IMG_7097-7102</t>
        </is>
      </c>
      <c r="P61" s="142" t="inlineStr"/>
    </row>
    <row r="62">
      <c r="B62" s="153" t="inlineStr">
        <is>
          <t>ITX-00057</t>
        </is>
      </c>
      <c r="C62" s="144" t="n">
        <v>45960</v>
      </c>
      <c r="D62" s="158" t="inlineStr">
        <is>
          <t>UNH</t>
        </is>
      </c>
      <c r="E62" s="137" t="inlineStr">
        <is>
          <t>US</t>
        </is>
      </c>
      <c r="F62" s="137" t="inlineStr">
        <is>
          <t>Buy</t>
        </is>
      </c>
      <c r="G62" s="156" t="n">
        <v>0.04339298422231094</v>
      </c>
      <c r="H62" s="157" t="n">
        <v>345.678</v>
      </c>
      <c r="I62" s="137" t="inlineStr">
        <is>
          <t>USD</t>
        </is>
      </c>
      <c r="J62" s="155">
        <f>IFERROR(LOOKUP(2,1/(tblFX[Date]&lt;=[@Date]),tblFX[Rate]),XLOOKUP("CURRENT_FX_USDTHB",tblSettings[Key],tblSettings[Value]))</f>
        <v/>
      </c>
      <c r="K62" s="128">
        <f>G62*H62*J62</f>
        <v/>
      </c>
      <c r="L62" s="146" t="n">
        <v>0</v>
      </c>
      <c r="M62" s="146" t="n">
        <v>15</v>
      </c>
      <c r="N62" s="146" t="inlineStr"/>
      <c r="O62" s="142" t="inlineStr">
        <is>
          <t>USA STOCK HIS 2</t>
        </is>
      </c>
      <c r="P62" s="142" t="inlineStr">
        <is>
          <t>30 ตุลาคม 2568 — ซื้อวันที่ 30 ต.ค. 68 เวลา 23:18-23:34 น.</t>
        </is>
      </c>
    </row>
    <row r="63">
      <c r="B63" s="153" t="inlineStr">
        <is>
          <t>ITX-00058</t>
        </is>
      </c>
      <c r="C63" s="144" t="n">
        <v>45960</v>
      </c>
      <c r="D63" s="158" t="inlineStr">
        <is>
          <t>V</t>
        </is>
      </c>
      <c r="E63" s="137" t="inlineStr">
        <is>
          <t>US</t>
        </is>
      </c>
      <c r="F63" s="137" t="inlineStr">
        <is>
          <t>Buy</t>
        </is>
      </c>
      <c r="G63" s="156" t="n">
        <v>0.02869506330130964</v>
      </c>
      <c r="H63" s="157" t="n">
        <v>348.492</v>
      </c>
      <c r="I63" s="137" t="inlineStr">
        <is>
          <t>USD</t>
        </is>
      </c>
      <c r="J63" s="155">
        <f>IFERROR(LOOKUP(2,1/(tblFX[Date]&lt;=[@Date]),tblFX[Rate]),XLOOKUP("CURRENT_FX_USDTHB",tblSettings[Key],tblSettings[Value]))</f>
        <v/>
      </c>
      <c r="K63" s="128">
        <f>G63*H63*J63</f>
        <v/>
      </c>
      <c r="L63" s="146" t="n">
        <v>0</v>
      </c>
      <c r="M63" s="146" t="n">
        <v>10</v>
      </c>
      <c r="N63" s="146" t="inlineStr"/>
      <c r="O63" s="142" t="inlineStr">
        <is>
          <t>USA STOCK HIS 2</t>
        </is>
      </c>
      <c r="P63" s="142" t="inlineStr">
        <is>
          <t>30 ตุลาคม 2568 — ซื้อวันที่ 30 ต.ค. 68 เวลา 23:18-23:34 น.</t>
        </is>
      </c>
    </row>
    <row r="64">
      <c r="B64" s="153" t="inlineStr">
        <is>
          <t>ITX-00059</t>
        </is>
      </c>
      <c r="C64" s="144" t="n">
        <v>45964</v>
      </c>
      <c r="D64" s="158" t="inlineStr">
        <is>
          <t>AAPL</t>
        </is>
      </c>
      <c r="E64" s="137" t="inlineStr">
        <is>
          <t>US</t>
        </is>
      </c>
      <c r="F64" s="137" t="inlineStr">
        <is>
          <t>Buy</t>
        </is>
      </c>
      <c r="G64" s="156" t="n">
        <v>0.03744224533656835</v>
      </c>
      <c r="H64" s="157" t="n">
        <v>267.078</v>
      </c>
      <c r="I64" s="137" t="inlineStr">
        <is>
          <t>USD</t>
        </is>
      </c>
      <c r="J64" s="155">
        <f>IFERROR(LOOKUP(2,1/(tblFX[Date]&lt;=[@Date]),tblFX[Rate]),XLOOKUP("CURRENT_FX_USDTHB",tblSettings[Key],tblSettings[Value]))</f>
        <v/>
      </c>
      <c r="K64" s="128">
        <f>G64*H64*J64</f>
        <v/>
      </c>
      <c r="L64" s="146" t="n">
        <v>0</v>
      </c>
      <c r="M64" s="146" t="n">
        <v>10</v>
      </c>
      <c r="N64" s="146" t="inlineStr"/>
      <c r="O64" s="142" t="inlineStr">
        <is>
          <t>USA STOCK HIS 2</t>
        </is>
      </c>
      <c r="P64" s="142" t="inlineStr">
        <is>
          <t>3 พฤศจิกายน 2568 — ซื้อวันที่ 3 พ.ย. 68 เวลา 23:17-23:20 น.</t>
        </is>
      </c>
    </row>
    <row r="65">
      <c r="B65" s="153" t="inlineStr">
        <is>
          <t>ITX-00060</t>
        </is>
      </c>
      <c r="C65" s="144" t="n">
        <v>45964</v>
      </c>
      <c r="D65" s="158" t="inlineStr">
        <is>
          <t>AMZN</t>
        </is>
      </c>
      <c r="E65" s="137" t="inlineStr">
        <is>
          <t>US</t>
        </is>
      </c>
      <c r="F65" s="137" t="inlineStr">
        <is>
          <t>Buy</t>
        </is>
      </c>
      <c r="G65" s="156" t="n">
        <v>0.01050272524246068</v>
      </c>
      <c r="H65" s="157" t="n">
        <v>256.124</v>
      </c>
      <c r="I65" s="137" t="inlineStr">
        <is>
          <t>USD</t>
        </is>
      </c>
      <c r="J65" s="155">
        <f>IFERROR(LOOKUP(2,1/(tblFX[Date]&lt;=[@Date]),tblFX[Rate]),XLOOKUP("CURRENT_FX_USDTHB",tblSettings[Key],tblSettings[Value]))</f>
        <v/>
      </c>
      <c r="K65" s="128">
        <f>G65*H65*J65</f>
        <v/>
      </c>
      <c r="L65" s="146" t="n">
        <v>0</v>
      </c>
      <c r="M65" s="146" t="n">
        <v>2.69</v>
      </c>
      <c r="N65" s="146" t="inlineStr"/>
      <c r="O65" s="142" t="inlineStr">
        <is>
          <t>USA STOCK HIS 2</t>
        </is>
      </c>
      <c r="P65" s="142" t="inlineStr">
        <is>
          <t>3 พฤศจิกายน 2568 — ซื้อวันที่ 3 พ.ย. 68 เวลา 23:17-23:20 น.</t>
        </is>
      </c>
    </row>
    <row r="66">
      <c r="B66" s="153" t="inlineStr">
        <is>
          <t>ITX-00061</t>
        </is>
      </c>
      <c r="C66" s="144" t="n">
        <v>45964</v>
      </c>
      <c r="D66" s="158" t="inlineStr">
        <is>
          <t>BEPC</t>
        </is>
      </c>
      <c r="E66" s="137" t="inlineStr">
        <is>
          <t>US</t>
        </is>
      </c>
      <c r="F66" s="137" t="inlineStr">
        <is>
          <t>Buy</t>
        </is>
      </c>
      <c r="G66" s="156" t="n">
        <v>0.117962343671263</v>
      </c>
      <c r="H66" s="157" t="n">
        <v>43.658</v>
      </c>
      <c r="I66" s="137" t="inlineStr">
        <is>
          <t>USD</t>
        </is>
      </c>
      <c r="J66" s="155">
        <f>IFERROR(LOOKUP(2,1/(tblFX[Date]&lt;=[@Date]),tblFX[Rate]),XLOOKUP("CURRENT_FX_USDTHB",tblSettings[Key],tblSettings[Value]))</f>
        <v/>
      </c>
      <c r="K66" s="128">
        <f>G66*H66*J66</f>
        <v/>
      </c>
      <c r="L66" s="146" t="n">
        <v>0</v>
      </c>
      <c r="M66" s="146" t="n">
        <v>5.15</v>
      </c>
      <c r="N66" s="146" t="inlineStr"/>
      <c r="O66" s="142" t="inlineStr">
        <is>
          <t>USA STOCK HIS 2</t>
        </is>
      </c>
      <c r="P66" s="142" t="inlineStr">
        <is>
          <t>3 พฤศจิกายน 2568 — ซื้อวันที่ 3 พ.ย. 68 เวลา 23:17-23:20 น.</t>
        </is>
      </c>
    </row>
    <row r="67">
      <c r="B67" s="153" t="inlineStr">
        <is>
          <t>ITX-00062</t>
        </is>
      </c>
      <c r="C67" s="144" t="n">
        <v>45964</v>
      </c>
      <c r="D67" s="158" t="inlineStr">
        <is>
          <t>GOOGL</t>
        </is>
      </c>
      <c r="E67" s="137" t="inlineStr">
        <is>
          <t>US</t>
        </is>
      </c>
      <c r="F67" s="137" t="inlineStr">
        <is>
          <t>Buy</t>
        </is>
      </c>
      <c r="G67" s="156" t="n">
        <v>0.03182191044607247</v>
      </c>
      <c r="H67" s="157" t="n">
        <v>282.824</v>
      </c>
      <c r="I67" s="137" t="inlineStr">
        <is>
          <t>USD</t>
        </is>
      </c>
      <c r="J67" s="155">
        <f>IFERROR(LOOKUP(2,1/(tblFX[Date]&lt;=[@Date]),tblFX[Rate]),XLOOKUP("CURRENT_FX_USDTHB",tblSettings[Key],tblSettings[Value]))</f>
        <v/>
      </c>
      <c r="K67" s="128">
        <f>G67*H67*J67</f>
        <v/>
      </c>
      <c r="L67" s="146" t="n">
        <v>0</v>
      </c>
      <c r="M67" s="146" t="n">
        <v>9</v>
      </c>
      <c r="N67" s="146" t="inlineStr"/>
      <c r="O67" s="142" t="inlineStr">
        <is>
          <t>USA STOCK HIS 2</t>
        </is>
      </c>
      <c r="P67" s="142" t="inlineStr">
        <is>
          <t>3 พฤศจิกายน 2568 — ซื้อวันที่ 3 พ.ย. 68 เวลา 23:17-23:20 น.</t>
        </is>
      </c>
    </row>
    <row r="68">
      <c r="B68" s="153" t="inlineStr">
        <is>
          <t>ITX-00063</t>
        </is>
      </c>
      <c r="C68" s="144" t="n">
        <v>45964</v>
      </c>
      <c r="D68" s="158" t="inlineStr">
        <is>
          <t>NVDA</t>
        </is>
      </c>
      <c r="E68" s="137" t="inlineStr">
        <is>
          <t>US</t>
        </is>
      </c>
      <c r="F68" s="137" t="inlineStr">
        <is>
          <t>Buy</t>
        </is>
      </c>
      <c r="G68" s="156" t="n">
        <v>0.07684254003016069</v>
      </c>
      <c r="H68" s="157" t="n">
        <v>208.218</v>
      </c>
      <c r="I68" s="137" t="inlineStr">
        <is>
          <t>USD</t>
        </is>
      </c>
      <c r="J68" s="155">
        <f>IFERROR(LOOKUP(2,1/(tblFX[Date]&lt;=[@Date]),tblFX[Rate]),XLOOKUP("CURRENT_FX_USDTHB",tblSettings[Key],tblSettings[Value]))</f>
        <v/>
      </c>
      <c r="K68" s="128">
        <f>G68*H68*J68</f>
        <v/>
      </c>
      <c r="L68" s="146" t="n">
        <v>0</v>
      </c>
      <c r="M68" s="146" t="n">
        <v>16</v>
      </c>
      <c r="N68" s="146" t="inlineStr"/>
      <c r="O68" s="142" t="inlineStr">
        <is>
          <t>USA STOCK HIS 2</t>
        </is>
      </c>
      <c r="P68" s="142" t="inlineStr">
        <is>
          <t>3 พฤศจิกายน 2568 — ซื้อวันที่ 3 พ.ย. 68 เวลา 23:17-23:20 น.</t>
        </is>
      </c>
    </row>
    <row r="69">
      <c r="B69" s="153" t="inlineStr">
        <is>
          <t>ITX-00064</t>
        </is>
      </c>
      <c r="C69" s="144" t="n">
        <v>45964</v>
      </c>
      <c r="D69" s="158" t="inlineStr">
        <is>
          <t>SCHD</t>
        </is>
      </c>
      <c r="E69" s="137" t="inlineStr">
        <is>
          <t>US</t>
        </is>
      </c>
      <c r="F69" s="137" t="inlineStr">
        <is>
          <t>Buy</t>
        </is>
      </c>
      <c r="G69" s="156" t="n">
        <v>0.3022517757291824</v>
      </c>
      <c r="H69" s="157" t="n">
        <v>26.468</v>
      </c>
      <c r="I69" s="137" t="inlineStr">
        <is>
          <t>USD</t>
        </is>
      </c>
      <c r="J69" s="155">
        <f>IFERROR(LOOKUP(2,1/(tblFX[Date]&lt;=[@Date]),tblFX[Rate]),XLOOKUP("CURRENT_FX_USDTHB",tblSettings[Key],tblSettings[Value]))</f>
        <v/>
      </c>
      <c r="K69" s="128">
        <f>G69*H69*J69</f>
        <v/>
      </c>
      <c r="L69" s="146" t="n">
        <v>0</v>
      </c>
      <c r="M69" s="146" t="n">
        <v>8</v>
      </c>
      <c r="N69" s="146" t="inlineStr"/>
      <c r="O69" s="142" t="inlineStr">
        <is>
          <t>USA STOCK HIS 2</t>
        </is>
      </c>
      <c r="P69" s="142" t="inlineStr">
        <is>
          <t>3 พฤศจิกายน 2568 — ซื้อวันที่ 3 พ.ย. 68 เวลา 23:17-23:20 น.</t>
        </is>
      </c>
    </row>
    <row r="70">
      <c r="B70" s="153" t="inlineStr">
        <is>
          <t>ITX-00065</t>
        </is>
      </c>
      <c r="C70" s="144" t="n">
        <v>45964</v>
      </c>
      <c r="D70" s="158" t="inlineStr">
        <is>
          <t>SCHG</t>
        </is>
      </c>
      <c r="E70" s="137" t="inlineStr">
        <is>
          <t>US</t>
        </is>
      </c>
      <c r="F70" s="137" t="inlineStr">
        <is>
          <t>Buy</t>
        </is>
      </c>
      <c r="G70" s="156" t="n">
        <v>0.2984361943416498</v>
      </c>
      <c r="H70" s="157" t="n">
        <v>33.508</v>
      </c>
      <c r="I70" s="137" t="inlineStr">
        <is>
          <t>USD</t>
        </is>
      </c>
      <c r="J70" s="155">
        <f>IFERROR(LOOKUP(2,1/(tblFX[Date]&lt;=[@Date]),tblFX[Rate]),XLOOKUP("CURRENT_FX_USDTHB",tblSettings[Key],tblSettings[Value]))</f>
        <v/>
      </c>
      <c r="K70" s="128">
        <f>G70*H70*J70</f>
        <v/>
      </c>
      <c r="L70" s="146" t="n">
        <v>0</v>
      </c>
      <c r="M70" s="146" t="n">
        <v>10</v>
      </c>
      <c r="N70" s="146" t="inlineStr"/>
      <c r="O70" s="142" t="inlineStr">
        <is>
          <t>USA STOCK HIS 2</t>
        </is>
      </c>
      <c r="P70" s="142" t="inlineStr">
        <is>
          <t>3 พฤศจิกายน 2568 — ซื้อวันที่ 3 พ.ย. 68 เวลา 23:17-23:20 น.</t>
        </is>
      </c>
    </row>
    <row r="71">
      <c r="B71" s="153" t="inlineStr">
        <is>
          <t>ITX-00066</t>
        </is>
      </c>
      <c r="C71" s="144" t="n">
        <v>45965</v>
      </c>
      <c r="D71" s="158" t="inlineStr">
        <is>
          <t>MTS-GOLD</t>
        </is>
      </c>
      <c r="E71" s="137" t="inlineStr">
        <is>
          <t>Commodity</t>
        </is>
      </c>
      <c r="F71" s="137" t="inlineStr">
        <is>
          <t>Buy</t>
        </is>
      </c>
      <c r="G71" s="156" t="n">
        <v>0.0125</v>
      </c>
      <c r="H71" s="157" t="n">
        <v>3978.66</v>
      </c>
      <c r="I71" s="137" t="inlineStr">
        <is>
          <t>USD</t>
        </is>
      </c>
      <c r="J71" s="155">
        <f>IFERROR(LOOKUP(2,1/(tblFX[Date]&lt;=[@Date]),tblFX[Rate]),XLOOKUP("CURRENT_FX_USDTHB",tblSettings[Key],tblSettings[Value]))</f>
        <v/>
      </c>
      <c r="K71" s="128">
        <f>G71*H71*J71</f>
        <v/>
      </c>
      <c r="L71" s="146" t="n">
        <v>0</v>
      </c>
      <c r="M71" s="146" t="n">
        <v>49.7332</v>
      </c>
      <c r="N71" s="146" t="inlineStr"/>
      <c r="O71" s="142" t="inlineStr">
        <is>
          <t>Dime app IMG_7097-7102</t>
        </is>
      </c>
      <c r="P71" s="142" t="inlineStr"/>
    </row>
    <row r="72">
      <c r="B72" s="153" t="inlineStr">
        <is>
          <t>ITX-00067</t>
        </is>
      </c>
      <c r="C72" s="144" t="n">
        <v>45992</v>
      </c>
      <c r="D72" s="158" t="inlineStr">
        <is>
          <t>MTS-GOLD</t>
        </is>
      </c>
      <c r="E72" s="137" t="inlineStr">
        <is>
          <t>Commodity</t>
        </is>
      </c>
      <c r="F72" s="137" t="inlineStr">
        <is>
          <t>Sell</t>
        </is>
      </c>
      <c r="G72" s="156" t="n">
        <v>0.0328</v>
      </c>
      <c r="H72" s="157" t="n">
        <v>4227.69</v>
      </c>
      <c r="I72" s="137" t="inlineStr">
        <is>
          <t>USD</t>
        </is>
      </c>
      <c r="J72" s="155">
        <f>IFERROR(LOOKUP(2,1/(tblFX[Date]&lt;=[@Date]),tblFX[Rate]),XLOOKUP("CURRENT_FX_USDTHB",tblSettings[Key],tblSettings[Value]))</f>
        <v/>
      </c>
      <c r="K72" s="128">
        <f>G72*H72*J72</f>
        <v/>
      </c>
      <c r="L72" s="146" t="n">
        <v>0</v>
      </c>
      <c r="M72" s="146" t="n">
        <v>129.6259</v>
      </c>
      <c r="N72" s="146" t="n">
        <v>9.042299999999999</v>
      </c>
      <c r="O72" s="142" t="inlineStr">
        <is>
          <t>Dime app IMG_7097-7102</t>
        </is>
      </c>
      <c r="P72" s="142" t="inlineStr"/>
    </row>
    <row r="73">
      <c r="B73" s="153" t="inlineStr">
        <is>
          <t>ITX-00068</t>
        </is>
      </c>
      <c r="C73" s="144" t="n">
        <v>46006</v>
      </c>
      <c r="D73" s="158" t="inlineStr">
        <is>
          <t>AAPL</t>
        </is>
      </c>
      <c r="E73" s="137" t="inlineStr">
        <is>
          <t>US</t>
        </is>
      </c>
      <c r="F73" s="137" t="inlineStr">
        <is>
          <t>Buy</t>
        </is>
      </c>
      <c r="G73" s="156" t="n">
        <v>0.02546732542148423</v>
      </c>
      <c r="H73" s="157" t="n">
        <v>274.862</v>
      </c>
      <c r="I73" s="137" t="inlineStr">
        <is>
          <t>USD</t>
        </is>
      </c>
      <c r="J73" s="155">
        <f>IFERROR(LOOKUP(2,1/(tblFX[Date]&lt;=[@Date]),tblFX[Rate]),XLOOKUP("CURRENT_FX_USDTHB",tblSettings[Key],tblSettings[Value]))</f>
        <v/>
      </c>
      <c r="K73" s="128">
        <f>G73*H73*J73</f>
        <v/>
      </c>
      <c r="L73" s="146" t="n">
        <v>0</v>
      </c>
      <c r="M73" s="146" t="n">
        <v>7</v>
      </c>
      <c r="N73" s="146" t="inlineStr"/>
      <c r="O73" s="142" t="inlineStr">
        <is>
          <t>USA STOCK HIS 2</t>
        </is>
      </c>
      <c r="P73" s="142" t="inlineStr">
        <is>
          <t>15 ธันวาคม 2568 (เพิ่ม) — ซื้อวันที่ 15 ธ.ค. 68 เวลา 21:49:59 น. (พบจากภาพ IMG_6976)</t>
        </is>
      </c>
    </row>
    <row r="74">
      <c r="B74" s="153" t="inlineStr">
        <is>
          <t>ITX-00069</t>
        </is>
      </c>
      <c r="C74" s="144" t="n">
        <v>46006</v>
      </c>
      <c r="D74" s="158" t="inlineStr">
        <is>
          <t>AMPX</t>
        </is>
      </c>
      <c r="E74" s="137" t="inlineStr">
        <is>
          <t>US</t>
        </is>
      </c>
      <c r="F74" s="137" t="inlineStr">
        <is>
          <t>Buy</t>
        </is>
      </c>
      <c r="G74" s="156" t="n">
        <v>0.1931993817619783</v>
      </c>
      <c r="H74" s="157" t="n">
        <v>10.352</v>
      </c>
      <c r="I74" s="137" t="inlineStr">
        <is>
          <t>USD</t>
        </is>
      </c>
      <c r="J74" s="155">
        <f>IFERROR(LOOKUP(2,1/(tblFX[Date]&lt;=[@Date]),tblFX[Rate]),XLOOKUP("CURRENT_FX_USDTHB",tblSettings[Key],tblSettings[Value]))</f>
        <v/>
      </c>
      <c r="K74" s="128">
        <f>G74*H74*J74</f>
        <v/>
      </c>
      <c r="L74" s="146" t="n">
        <v>0</v>
      </c>
      <c r="M74" s="146" t="n">
        <v>2</v>
      </c>
      <c r="N74" s="146" t="inlineStr"/>
      <c r="O74" s="142" t="inlineStr">
        <is>
          <t>USA STOCK HIS 2</t>
        </is>
      </c>
      <c r="P74" s="142" t="inlineStr">
        <is>
          <t>15 ธันวาคม 2568 (เพิ่ม) — ซื้อวันที่ 15 ธ.ค. 68 เวลา 21:49:33 น. (พบจากภาพ IMG_6976)</t>
        </is>
      </c>
    </row>
    <row r="75">
      <c r="B75" s="153" t="inlineStr">
        <is>
          <t>ITX-00070</t>
        </is>
      </c>
      <c r="C75" s="144" t="n">
        <v>46006</v>
      </c>
      <c r="D75" s="158" t="inlineStr">
        <is>
          <t>AMZN</t>
        </is>
      </c>
      <c r="E75" s="137" t="inlineStr">
        <is>
          <t>US</t>
        </is>
      </c>
      <c r="F75" s="137" t="inlineStr">
        <is>
          <t>Buy</t>
        </is>
      </c>
      <c r="G75" s="156" t="n">
        <v>0.01779042874933286</v>
      </c>
      <c r="H75" s="157" t="n">
        <v>224.84</v>
      </c>
      <c r="I75" s="137" t="inlineStr">
        <is>
          <t>USD</t>
        </is>
      </c>
      <c r="J75" s="155">
        <f>IFERROR(LOOKUP(2,1/(tblFX[Date]&lt;=[@Date]),tblFX[Rate]),XLOOKUP("CURRENT_FX_USDTHB",tblSettings[Key],tblSettings[Value]))</f>
        <v/>
      </c>
      <c r="K75" s="128">
        <f>G75*H75*J75</f>
        <v/>
      </c>
      <c r="L75" s="146" t="n">
        <v>0</v>
      </c>
      <c r="M75" s="146" t="n">
        <v>4</v>
      </c>
      <c r="N75" s="146" t="inlineStr"/>
      <c r="O75" s="142" t="inlineStr">
        <is>
          <t>USA STOCK HIS 2</t>
        </is>
      </c>
      <c r="P75" s="142" t="inlineStr">
        <is>
          <t>15 ธันวาคม 2568 — ซื้อวันที่ 15 ธ.ค. 68 เวลา 21:45-21:51 น.</t>
        </is>
      </c>
    </row>
    <row r="76">
      <c r="B76" s="153" t="inlineStr">
        <is>
          <t>ITX-00071</t>
        </is>
      </c>
      <c r="C76" s="144" t="n">
        <v>46006</v>
      </c>
      <c r="D76" s="158" t="inlineStr">
        <is>
          <t>BEPC</t>
        </is>
      </c>
      <c r="E76" s="137" t="inlineStr">
        <is>
          <t>US</t>
        </is>
      </c>
      <c r="F76" s="137" t="inlineStr">
        <is>
          <t>Buy</t>
        </is>
      </c>
      <c r="G76" s="156" t="n">
        <v>0.05170096163788647</v>
      </c>
      <c r="H76" s="157" t="n">
        <v>38.684</v>
      </c>
      <c r="I76" s="137" t="inlineStr">
        <is>
          <t>USD</t>
        </is>
      </c>
      <c r="J76" s="155">
        <f>IFERROR(LOOKUP(2,1/(tblFX[Date]&lt;=[@Date]),tblFX[Rate]),XLOOKUP("CURRENT_FX_USDTHB",tblSettings[Key],tblSettings[Value]))</f>
        <v/>
      </c>
      <c r="K76" s="128">
        <f>G76*H76*J76</f>
        <v/>
      </c>
      <c r="L76" s="146" t="n">
        <v>0</v>
      </c>
      <c r="M76" s="146" t="n">
        <v>2</v>
      </c>
      <c r="N76" s="146" t="inlineStr"/>
      <c r="O76" s="142" t="inlineStr">
        <is>
          <t>USA STOCK HIS 2</t>
        </is>
      </c>
      <c r="P76" s="142" t="inlineStr">
        <is>
          <t>15 ธันวาคม 2568 — ซื้อวันที่ 15 ธ.ค. 68 เวลา 21:45-21:51 น.</t>
        </is>
      </c>
    </row>
    <row r="77">
      <c r="B77" s="153" t="inlineStr">
        <is>
          <t>ITX-00072</t>
        </is>
      </c>
      <c r="C77" s="144" t="n">
        <v>46006</v>
      </c>
      <c r="D77" s="158" t="inlineStr">
        <is>
          <t>GOOGL</t>
        </is>
      </c>
      <c r="E77" s="137" t="inlineStr">
        <is>
          <t>US</t>
        </is>
      </c>
      <c r="F77" s="137" t="inlineStr">
        <is>
          <t>Buy</t>
        </is>
      </c>
      <c r="G77" s="156" t="n">
        <v>0.01944932478427457</v>
      </c>
      <c r="H77" s="157" t="n">
        <v>308.494</v>
      </c>
      <c r="I77" s="137" t="inlineStr">
        <is>
          <t>USD</t>
        </is>
      </c>
      <c r="J77" s="155">
        <f>IFERROR(LOOKUP(2,1/(tblFX[Date]&lt;=[@Date]),tblFX[Rate]),XLOOKUP("CURRENT_FX_USDTHB",tblSettings[Key],tblSettings[Value]))</f>
        <v/>
      </c>
      <c r="K77" s="128">
        <f>G77*H77*J77</f>
        <v/>
      </c>
      <c r="L77" s="146" t="n">
        <v>0</v>
      </c>
      <c r="M77" s="146" t="n">
        <v>6</v>
      </c>
      <c r="N77" s="146" t="inlineStr"/>
      <c r="O77" s="142" t="inlineStr">
        <is>
          <t>USA STOCK HIS 2</t>
        </is>
      </c>
      <c r="P77" s="142" t="inlineStr">
        <is>
          <t>15 ธันวาคม 2568 (เพิ่ม) — ซื้อวันที่ 15 ธ.ค. 68 เวลา 21:50:36 น. (พบจากภาพ IMG_6976)</t>
        </is>
      </c>
    </row>
    <row r="78">
      <c r="B78" s="153" t="inlineStr">
        <is>
          <t>ITX-00073</t>
        </is>
      </c>
      <c r="C78" s="144" t="n">
        <v>46006</v>
      </c>
      <c r="D78" s="158" t="inlineStr">
        <is>
          <t>META</t>
        </is>
      </c>
      <c r="E78" s="137" t="inlineStr">
        <is>
          <t>US</t>
        </is>
      </c>
      <c r="F78" s="137" t="inlineStr">
        <is>
          <t>Buy</t>
        </is>
      </c>
      <c r="G78" s="156" t="n">
        <v>0.02626464253821505</v>
      </c>
      <c r="H78" s="157" t="n">
        <v>647.258</v>
      </c>
      <c r="I78" s="137" t="inlineStr">
        <is>
          <t>USD</t>
        </is>
      </c>
      <c r="J78" s="155">
        <f>IFERROR(LOOKUP(2,1/(tblFX[Date]&lt;=[@Date]),tblFX[Rate]),XLOOKUP("CURRENT_FX_USDTHB",tblSettings[Key],tblSettings[Value]))</f>
        <v/>
      </c>
      <c r="K78" s="128">
        <f>G78*H78*J78</f>
        <v/>
      </c>
      <c r="L78" s="146" t="n">
        <v>0</v>
      </c>
      <c r="M78" s="146" t="n">
        <v>17</v>
      </c>
      <c r="N78" s="146" t="inlineStr"/>
      <c r="O78" s="142" t="inlineStr">
        <is>
          <t>USA STOCK HIS 2</t>
        </is>
      </c>
      <c r="P78" s="142" t="inlineStr">
        <is>
          <t>15 ธันวาคม 2568 — ซื้อวันที่ 15 ธ.ค. 68 เวลา 21:45-21:51 น.</t>
        </is>
      </c>
    </row>
    <row r="79">
      <c r="B79" s="153" t="inlineStr">
        <is>
          <t>ITX-00074</t>
        </is>
      </c>
      <c r="C79" s="144" t="n">
        <v>46006</v>
      </c>
      <c r="D79" s="158" t="inlineStr">
        <is>
          <t>MSFT</t>
        </is>
      </c>
      <c r="E79" s="137" t="inlineStr">
        <is>
          <t>US</t>
        </is>
      </c>
      <c r="F79" s="137" t="inlineStr">
        <is>
          <t>Buy</t>
        </is>
      </c>
      <c r="G79" s="156" t="n">
        <v>0.03143520575390006</v>
      </c>
      <c r="H79" s="157" t="n">
        <v>477.172</v>
      </c>
      <c r="I79" s="137" t="inlineStr">
        <is>
          <t>USD</t>
        </is>
      </c>
      <c r="J79" s="155">
        <f>IFERROR(LOOKUP(2,1/(tblFX[Date]&lt;=[@Date]),tblFX[Rate]),XLOOKUP("CURRENT_FX_USDTHB",tblSettings[Key],tblSettings[Value]))</f>
        <v/>
      </c>
      <c r="K79" s="128">
        <f>G79*H79*J79</f>
        <v/>
      </c>
      <c r="L79" s="146" t="n">
        <v>0</v>
      </c>
      <c r="M79" s="146" t="n">
        <v>15</v>
      </c>
      <c r="N79" s="146" t="inlineStr"/>
      <c r="O79" s="142" t="inlineStr">
        <is>
          <t>USA STOCK HIS 2</t>
        </is>
      </c>
      <c r="P79" s="142" t="inlineStr">
        <is>
          <t>15 ธันวาคม 2568 — ซื้อวันที่ 15 ธ.ค. 68 เวลา 21:45-21:51 น.</t>
        </is>
      </c>
    </row>
    <row r="80">
      <c r="B80" s="153" t="inlineStr">
        <is>
          <t>ITX-00075</t>
        </is>
      </c>
      <c r="C80" s="144" t="n">
        <v>46006</v>
      </c>
      <c r="D80" s="158" t="inlineStr">
        <is>
          <t>NVDA</t>
        </is>
      </c>
      <c r="E80" s="137" t="inlineStr">
        <is>
          <t>US</t>
        </is>
      </c>
      <c r="F80" s="137" t="inlineStr">
        <is>
          <t>Buy</t>
        </is>
      </c>
      <c r="G80" s="156" t="n">
        <v>0.1128362520310525</v>
      </c>
      <c r="H80" s="157" t="n">
        <v>177.248</v>
      </c>
      <c r="I80" s="137" t="inlineStr">
        <is>
          <t>USD</t>
        </is>
      </c>
      <c r="J80" s="155">
        <f>IFERROR(LOOKUP(2,1/(tblFX[Date]&lt;=[@Date]),tblFX[Rate]),XLOOKUP("CURRENT_FX_USDTHB",tblSettings[Key],tblSettings[Value]))</f>
        <v/>
      </c>
      <c r="K80" s="128">
        <f>G80*H80*J80</f>
        <v/>
      </c>
      <c r="L80" s="146" t="n">
        <v>0</v>
      </c>
      <c r="M80" s="146" t="n">
        <v>20</v>
      </c>
      <c r="N80" s="146" t="inlineStr"/>
      <c r="O80" s="142" t="inlineStr">
        <is>
          <t>USA STOCK HIS 2</t>
        </is>
      </c>
      <c r="P80" s="142" t="inlineStr">
        <is>
          <t>15 ธันวาคม 2568 — ซื้อวันที่ 15 ธ.ค. 68 เวลา 21:45-21:51 น.</t>
        </is>
      </c>
    </row>
    <row r="81">
      <c r="B81" s="153" t="inlineStr">
        <is>
          <t>ITX-00076</t>
        </is>
      </c>
      <c r="C81" s="144" t="n">
        <v>46006</v>
      </c>
      <c r="D81" s="158" t="inlineStr">
        <is>
          <t>SCHG</t>
        </is>
      </c>
      <c r="E81" s="137" t="inlineStr">
        <is>
          <t>US</t>
        </is>
      </c>
      <c r="F81" s="137" t="inlineStr">
        <is>
          <t>Buy</t>
        </is>
      </c>
      <c r="G81" s="156" t="n">
        <v>0.3074274471224791</v>
      </c>
      <c r="H81" s="157" t="n">
        <v>32.528</v>
      </c>
      <c r="I81" s="137" t="inlineStr">
        <is>
          <t>USD</t>
        </is>
      </c>
      <c r="J81" s="155">
        <f>IFERROR(LOOKUP(2,1/(tblFX[Date]&lt;=[@Date]),tblFX[Rate]),XLOOKUP("CURRENT_FX_USDTHB",tblSettings[Key],tblSettings[Value]))</f>
        <v/>
      </c>
      <c r="K81" s="128">
        <f>G81*H81*J81</f>
        <v/>
      </c>
      <c r="L81" s="146" t="n">
        <v>0</v>
      </c>
      <c r="M81" s="146" t="n">
        <v>10</v>
      </c>
      <c r="N81" s="146" t="inlineStr"/>
      <c r="O81" s="142" t="inlineStr">
        <is>
          <t>USA STOCK HIS 2</t>
        </is>
      </c>
      <c r="P81" s="142" t="inlineStr">
        <is>
          <t>15 ธันวาคม 2568 (เพิ่ม) — ซื้อวันที่ 15 ธ.ค. 68 เวลา 21:50:57 น. (พบจากภาพ IMG_6976)</t>
        </is>
      </c>
    </row>
    <row r="82">
      <c r="B82" s="153" t="inlineStr">
        <is>
          <t>ITX-00077</t>
        </is>
      </c>
      <c r="C82" s="144" t="n">
        <v>46006</v>
      </c>
      <c r="D82" s="158" t="inlineStr">
        <is>
          <t>UNH</t>
        </is>
      </c>
      <c r="E82" s="137" t="inlineStr">
        <is>
          <t>US</t>
        </is>
      </c>
      <c r="F82" s="137" t="inlineStr">
        <is>
          <t>Buy</t>
        </is>
      </c>
      <c r="G82" s="156" t="n">
        <v>0.02935323091012628</v>
      </c>
      <c r="H82" s="157" t="n">
        <v>340.678</v>
      </c>
      <c r="I82" s="137" t="inlineStr">
        <is>
          <t>USD</t>
        </is>
      </c>
      <c r="J82" s="155">
        <f>IFERROR(LOOKUP(2,1/(tblFX[Date]&lt;=[@Date]),tblFX[Rate]),XLOOKUP("CURRENT_FX_USDTHB",tblSettings[Key],tblSettings[Value]))</f>
        <v/>
      </c>
      <c r="K82" s="128">
        <f>G82*H82*J82</f>
        <v/>
      </c>
      <c r="L82" s="146" t="n">
        <v>0</v>
      </c>
      <c r="M82" s="146" t="n">
        <v>10</v>
      </c>
      <c r="N82" s="146" t="inlineStr"/>
      <c r="O82" s="142" t="inlineStr">
        <is>
          <t>USA STOCK HIS 2</t>
        </is>
      </c>
      <c r="P82" s="142" t="inlineStr">
        <is>
          <t>15 ธันวาคม 2568 (เพิ่ม) — ซื้อวันที่ 15 ธ.ค. 68 เวลา 21:48:47 น. (พบจากภาพ IMG_6976)</t>
        </is>
      </c>
    </row>
    <row r="83">
      <c r="B83" s="153" t="inlineStr">
        <is>
          <t>ITX-00078</t>
        </is>
      </c>
      <c r="C83" s="144" t="n">
        <v>46006</v>
      </c>
      <c r="D83" s="158" t="inlineStr">
        <is>
          <t>V</t>
        </is>
      </c>
      <c r="E83" s="137" t="inlineStr">
        <is>
          <t>US</t>
        </is>
      </c>
      <c r="F83" s="137" t="inlineStr">
        <is>
          <t>Buy</t>
        </is>
      </c>
      <c r="G83" s="156" t="n">
        <v>0.02606036739326832</v>
      </c>
      <c r="H83" s="157" t="n">
        <v>345.352</v>
      </c>
      <c r="I83" s="137" t="inlineStr">
        <is>
          <t>USD</t>
        </is>
      </c>
      <c r="J83" s="155">
        <f>IFERROR(LOOKUP(2,1/(tblFX[Date]&lt;=[@Date]),tblFX[Rate]),XLOOKUP("CURRENT_FX_USDTHB",tblSettings[Key],tblSettings[Value]))</f>
        <v/>
      </c>
      <c r="K83" s="128">
        <f>G83*H83*J83</f>
        <v/>
      </c>
      <c r="L83" s="146" t="n">
        <v>0</v>
      </c>
      <c r="M83" s="146" t="n">
        <v>9</v>
      </c>
      <c r="N83" s="146" t="inlineStr"/>
      <c r="O83" s="142" t="inlineStr">
        <is>
          <t>USA STOCK HIS 2</t>
        </is>
      </c>
      <c r="P83" s="142" t="inlineStr">
        <is>
          <t>15 ธันวาคม 2568 (เพิ่ม) — ซื้อวันที่ 15 ธ.ค. 68 เวลา 21:48:20 น. (พบจากภาพ IMG_6976)</t>
        </is>
      </c>
    </row>
    <row r="84">
      <c r="B84" s="153" t="inlineStr">
        <is>
          <t>ITX-00079</t>
        </is>
      </c>
      <c r="C84" s="144" t="n">
        <v>46027</v>
      </c>
      <c r="D84" s="158" t="inlineStr">
        <is>
          <t>AAPL</t>
        </is>
      </c>
      <c r="E84" s="137" t="inlineStr">
        <is>
          <t>US</t>
        </is>
      </c>
      <c r="F84" s="137" t="inlineStr">
        <is>
          <t>Buy</t>
        </is>
      </c>
      <c r="G84" s="156" t="n">
        <v>0.02966852836682168</v>
      </c>
      <c r="H84" s="157" t="n">
        <v>269.646</v>
      </c>
      <c r="I84" s="137" t="inlineStr">
        <is>
          <t>USD</t>
        </is>
      </c>
      <c r="J84" s="155">
        <f>IFERROR(LOOKUP(2,1/(tblFX[Date]&lt;=[@Date]),tblFX[Rate]),XLOOKUP("CURRENT_FX_USDTHB",tblSettings[Key],tblSettings[Value]))</f>
        <v/>
      </c>
      <c r="K84" s="128">
        <f>G84*H84*J84</f>
        <v/>
      </c>
      <c r="L84" s="146" t="n">
        <v>0</v>
      </c>
      <c r="M84" s="146" t="n">
        <v>8</v>
      </c>
      <c r="N84" s="146" t="inlineStr"/>
      <c r="O84" s="142" t="inlineStr">
        <is>
          <t>USA STOCK HIS 2</t>
        </is>
      </c>
      <c r="P84" s="142" t="inlineStr">
        <is>
          <t>5 มกราคม 2569 — ซื้อวันที่ 5 ม.ค. 69 เวลา 21:05-21:59 น.</t>
        </is>
      </c>
    </row>
    <row r="85">
      <c r="B85" s="153" t="inlineStr">
        <is>
          <t>ITX-00080</t>
        </is>
      </c>
      <c r="C85" s="144" t="n">
        <v>46027</v>
      </c>
      <c r="D85" s="158" t="inlineStr">
        <is>
          <t>AMPX</t>
        </is>
      </c>
      <c r="E85" s="137" t="inlineStr">
        <is>
          <t>US</t>
        </is>
      </c>
      <c r="F85" s="137" t="inlineStr">
        <is>
          <t>Buy</t>
        </is>
      </c>
      <c r="G85" s="156" t="n">
        <v>0.9185217203371515</v>
      </c>
      <c r="H85" s="157" t="n">
        <v>9.254</v>
      </c>
      <c r="I85" s="137" t="inlineStr">
        <is>
          <t>USD</t>
        </is>
      </c>
      <c r="J85" s="155">
        <f>IFERROR(LOOKUP(2,1/(tblFX[Date]&lt;=[@Date]),tblFX[Rate]),XLOOKUP("CURRENT_FX_USDTHB",tblSettings[Key],tblSettings[Value]))</f>
        <v/>
      </c>
      <c r="K85" s="128">
        <f>G85*H85*J85</f>
        <v/>
      </c>
      <c r="L85" s="146" t="n">
        <v>0</v>
      </c>
      <c r="M85" s="146" t="n">
        <v>8.5</v>
      </c>
      <c r="N85" s="146" t="inlineStr"/>
      <c r="O85" s="142" t="inlineStr">
        <is>
          <t>USA STOCK HIS 2</t>
        </is>
      </c>
      <c r="P85" s="142" t="inlineStr">
        <is>
          <t>5 มกราคม 2569 — ซื้อวันที่ 5 ม.ค. 69 เวลา 21:05-21:59 น.</t>
        </is>
      </c>
    </row>
    <row r="86">
      <c r="B86" s="153" t="inlineStr">
        <is>
          <t>ITX-00081</t>
        </is>
      </c>
      <c r="C86" s="144" t="n">
        <v>46027</v>
      </c>
      <c r="D86" s="158" t="inlineStr">
        <is>
          <t>AMZN</t>
        </is>
      </c>
      <c r="E86" s="137" t="inlineStr">
        <is>
          <t>US</t>
        </is>
      </c>
      <c r="F86" s="137" t="inlineStr">
        <is>
          <t>Buy</t>
        </is>
      </c>
      <c r="G86" s="156" t="n">
        <v>0.04335911755523952</v>
      </c>
      <c r="H86" s="157" t="n">
        <v>230.632</v>
      </c>
      <c r="I86" s="137" t="inlineStr">
        <is>
          <t>USD</t>
        </is>
      </c>
      <c r="J86" s="155">
        <f>IFERROR(LOOKUP(2,1/(tblFX[Date]&lt;=[@Date]),tblFX[Rate]),XLOOKUP("CURRENT_FX_USDTHB",tblSettings[Key],tblSettings[Value]))</f>
        <v/>
      </c>
      <c r="K86" s="128">
        <f>G86*H86*J86</f>
        <v/>
      </c>
      <c r="L86" s="146" t="n">
        <v>0</v>
      </c>
      <c r="M86" s="146" t="n">
        <v>10</v>
      </c>
      <c r="N86" s="146" t="inlineStr"/>
      <c r="O86" s="142" t="inlineStr">
        <is>
          <t>USA STOCK HIS 2</t>
        </is>
      </c>
      <c r="P86" s="142" t="inlineStr">
        <is>
          <t>5 มกราคม 2569 (เพิ่ม) — ซื้อวันที่ 5 ม.ค. 69 เวลา 21:57:08 น. (พบจากภาพ IMG_6980)</t>
        </is>
      </c>
    </row>
    <row r="87">
      <c r="B87" s="153" t="inlineStr">
        <is>
          <t>ITX-00082</t>
        </is>
      </c>
      <c r="C87" s="144" t="n">
        <v>46027</v>
      </c>
      <c r="D87" s="158" t="inlineStr">
        <is>
          <t>BEPC</t>
        </is>
      </c>
      <c r="E87" s="137" t="inlineStr">
        <is>
          <t>US</t>
        </is>
      </c>
      <c r="F87" s="137" t="inlineStr">
        <is>
          <t>Buy</t>
        </is>
      </c>
      <c r="G87" s="156" t="n">
        <v>0.05110906674844118</v>
      </c>
      <c r="H87" s="157" t="n">
        <v>39.132</v>
      </c>
      <c r="I87" s="137" t="inlineStr">
        <is>
          <t>USD</t>
        </is>
      </c>
      <c r="J87" s="155">
        <f>IFERROR(LOOKUP(2,1/(tblFX[Date]&lt;=[@Date]),tblFX[Rate]),XLOOKUP("CURRENT_FX_USDTHB",tblSettings[Key],tblSettings[Value]))</f>
        <v/>
      </c>
      <c r="K87" s="128">
        <f>G87*H87*J87</f>
        <v/>
      </c>
      <c r="L87" s="146" t="n">
        <v>0</v>
      </c>
      <c r="M87" s="146" t="n">
        <v>2</v>
      </c>
      <c r="N87" s="146" t="inlineStr"/>
      <c r="O87" s="142" t="inlineStr">
        <is>
          <t>USA STOCK HIS 2</t>
        </is>
      </c>
      <c r="P87" s="142" t="inlineStr">
        <is>
          <t>5 มกราคม 2569 — ซื้อวันที่ 5 ม.ค. 69 เวลา 21:05-21:59 น.</t>
        </is>
      </c>
    </row>
    <row r="88">
      <c r="B88" s="153" t="inlineStr">
        <is>
          <t>ITX-00083</t>
        </is>
      </c>
      <c r="C88" s="144" t="n">
        <v>46027</v>
      </c>
      <c r="D88" s="158" t="inlineStr">
        <is>
          <t>GOOGL</t>
        </is>
      </c>
      <c r="E88" s="137" t="inlineStr">
        <is>
          <t>US</t>
        </is>
      </c>
      <c r="F88" s="137" t="inlineStr">
        <is>
          <t>Buy</t>
        </is>
      </c>
      <c r="G88" s="156" t="n">
        <v>0.02840227723147225</v>
      </c>
      <c r="H88" s="157" t="n">
        <v>316.876</v>
      </c>
      <c r="I88" s="137" t="inlineStr">
        <is>
          <t>USD</t>
        </is>
      </c>
      <c r="J88" s="155">
        <f>IFERROR(LOOKUP(2,1/(tblFX[Date]&lt;=[@Date]),tblFX[Rate]),XLOOKUP("CURRENT_FX_USDTHB",tblSettings[Key],tblSettings[Value]))</f>
        <v/>
      </c>
      <c r="K88" s="128">
        <f>G88*H88*J88</f>
        <v/>
      </c>
      <c r="L88" s="146" t="n">
        <v>0</v>
      </c>
      <c r="M88" s="146" t="n">
        <v>9</v>
      </c>
      <c r="N88" s="146" t="inlineStr"/>
      <c r="O88" s="142" t="inlineStr">
        <is>
          <t>USA STOCK HIS 2</t>
        </is>
      </c>
      <c r="P88" s="142" t="inlineStr">
        <is>
          <t>5 มกราคม 2569 — ซื้อวันที่ 5 ม.ค. 69 เวลา 21:05-21:59 น.</t>
        </is>
      </c>
    </row>
    <row r="89">
      <c r="B89" s="153" t="inlineStr">
        <is>
          <t>ITX-00084</t>
        </is>
      </c>
      <c r="C89" s="144" t="n">
        <v>46027</v>
      </c>
      <c r="D89" s="158" t="inlineStr">
        <is>
          <t>LLY</t>
        </is>
      </c>
      <c r="E89" s="137" t="inlineStr">
        <is>
          <t>US</t>
        </is>
      </c>
      <c r="F89" s="137" t="inlineStr">
        <is>
          <t>Buy</t>
        </is>
      </c>
      <c r="G89" s="156" t="n">
        <v>0.001862214731980745</v>
      </c>
      <c r="H89" s="157" t="n">
        <v>1073.99</v>
      </c>
      <c r="I89" s="137" t="inlineStr">
        <is>
          <t>USD</t>
        </is>
      </c>
      <c r="J89" s="155">
        <f>IFERROR(LOOKUP(2,1/(tblFX[Date]&lt;=[@Date]),tblFX[Rate]),XLOOKUP("CURRENT_FX_USDTHB",tblSettings[Key],tblSettings[Value]))</f>
        <v/>
      </c>
      <c r="K89" s="128">
        <f>G89*H89*J89</f>
        <v/>
      </c>
      <c r="L89" s="146" t="n">
        <v>0</v>
      </c>
      <c r="M89" s="146" t="n">
        <v>2</v>
      </c>
      <c r="N89" s="146" t="inlineStr"/>
      <c r="O89" s="142" t="inlineStr">
        <is>
          <t>USA STOCK HIS 2</t>
        </is>
      </c>
      <c r="P89" s="142" t="inlineStr">
        <is>
          <t>5 มกราคม 2569 — ซื้อวันที่ 5 ม.ค. 69 เวลา 21:05-21:59 น.</t>
        </is>
      </c>
    </row>
    <row r="90">
      <c r="B90" s="153" t="inlineStr">
        <is>
          <t>ITX-00085</t>
        </is>
      </c>
      <c r="C90" s="144" t="n">
        <v>46027</v>
      </c>
      <c r="D90" s="158" t="inlineStr">
        <is>
          <t>META</t>
        </is>
      </c>
      <c r="E90" s="137" t="inlineStr">
        <is>
          <t>US</t>
        </is>
      </c>
      <c r="F90" s="137" t="inlineStr">
        <is>
          <t>Buy</t>
        </is>
      </c>
      <c r="G90" s="156" t="n">
        <v>0.0212630236019562</v>
      </c>
      <c r="H90" s="157" t="n">
        <v>658.42</v>
      </c>
      <c r="I90" s="137" t="inlineStr">
        <is>
          <t>USD</t>
        </is>
      </c>
      <c r="J90" s="155">
        <f>IFERROR(LOOKUP(2,1/(tblFX[Date]&lt;=[@Date]),tblFX[Rate]),XLOOKUP("CURRENT_FX_USDTHB",tblSettings[Key],tblSettings[Value]))</f>
        <v/>
      </c>
      <c r="K90" s="128">
        <f>G90*H90*J90</f>
        <v/>
      </c>
      <c r="L90" s="146" t="n">
        <v>0</v>
      </c>
      <c r="M90" s="146" t="n">
        <v>14</v>
      </c>
      <c r="N90" s="146" t="inlineStr"/>
      <c r="O90" s="142" t="inlineStr">
        <is>
          <t>USA STOCK HIS 2</t>
        </is>
      </c>
      <c r="P90" s="142" t="inlineStr">
        <is>
          <t>5 มกราคม 2569 — ซื้อวันที่ 5 ม.ค. 69 เวลา 21:05-21:59 น.</t>
        </is>
      </c>
    </row>
    <row r="91">
      <c r="B91" s="153" t="inlineStr">
        <is>
          <t>ITX-00086</t>
        </is>
      </c>
      <c r="C91" s="144" t="n">
        <v>46027</v>
      </c>
      <c r="D91" s="158" t="inlineStr">
        <is>
          <t>MSFT</t>
        </is>
      </c>
      <c r="E91" s="137" t="inlineStr">
        <is>
          <t>US</t>
        </is>
      </c>
      <c r="F91" s="137" t="inlineStr">
        <is>
          <t>Buy</t>
        </is>
      </c>
      <c r="G91" s="156" t="n">
        <v>0.02964343186245448</v>
      </c>
      <c r="H91" s="157" t="n">
        <v>472.28</v>
      </c>
      <c r="I91" s="137" t="inlineStr">
        <is>
          <t>USD</t>
        </is>
      </c>
      <c r="J91" s="155">
        <f>IFERROR(LOOKUP(2,1/(tblFX[Date]&lt;=[@Date]),tblFX[Rate]),XLOOKUP("CURRENT_FX_USDTHB",tblSettings[Key],tblSettings[Value]))</f>
        <v/>
      </c>
      <c r="K91" s="128">
        <f>G91*H91*J91</f>
        <v/>
      </c>
      <c r="L91" s="146" t="n">
        <v>0</v>
      </c>
      <c r="M91" s="146" t="n">
        <v>14</v>
      </c>
      <c r="N91" s="146" t="inlineStr"/>
      <c r="O91" s="142" t="inlineStr">
        <is>
          <t>USA STOCK HIS 2</t>
        </is>
      </c>
      <c r="P91" s="142" t="inlineStr">
        <is>
          <t>5 มกราคม 2569 — ซื้อวันที่ 5 ม.ค. 69 เวลา 21:05-21:59 น.</t>
        </is>
      </c>
    </row>
    <row r="92">
      <c r="B92" s="153" t="inlineStr">
        <is>
          <t>ITX-00087</t>
        </is>
      </c>
      <c r="C92" s="144" t="n">
        <v>46027</v>
      </c>
      <c r="D92" s="158" t="inlineStr">
        <is>
          <t>NVDA</t>
        </is>
      </c>
      <c r="E92" s="137" t="inlineStr">
        <is>
          <t>US</t>
        </is>
      </c>
      <c r="F92" s="137" t="inlineStr">
        <is>
          <t>Buy</t>
        </is>
      </c>
      <c r="G92" s="156" t="n">
        <v>0.07890666919168007</v>
      </c>
      <c r="H92" s="157" t="n">
        <v>190.098</v>
      </c>
      <c r="I92" s="137" t="inlineStr">
        <is>
          <t>USD</t>
        </is>
      </c>
      <c r="J92" s="155">
        <f>IFERROR(LOOKUP(2,1/(tblFX[Date]&lt;=[@Date]),tblFX[Rate]),XLOOKUP("CURRENT_FX_USDTHB",tblSettings[Key],tblSettings[Value]))</f>
        <v/>
      </c>
      <c r="K92" s="128">
        <f>G92*H92*J92</f>
        <v/>
      </c>
      <c r="L92" s="146" t="n">
        <v>0</v>
      </c>
      <c r="M92" s="146" t="n">
        <v>15</v>
      </c>
      <c r="N92" s="146" t="inlineStr"/>
      <c r="O92" s="142" t="inlineStr">
        <is>
          <t>USA STOCK HIS 2</t>
        </is>
      </c>
      <c r="P92" s="142" t="inlineStr">
        <is>
          <t>5 มกราคม 2569 — ซื้อวันที่ 5 ม.ค. 69 เวลา 21:05-21:59 น.</t>
        </is>
      </c>
    </row>
    <row r="93">
      <c r="B93" s="153" t="inlineStr">
        <is>
          <t>ITX-00088</t>
        </is>
      </c>
      <c r="C93" s="144" t="n">
        <v>46027</v>
      </c>
      <c r="D93" s="158" t="inlineStr">
        <is>
          <t>SCHD</t>
        </is>
      </c>
      <c r="E93" s="137" t="inlineStr">
        <is>
          <t>US</t>
        </is>
      </c>
      <c r="F93" s="137" t="inlineStr">
        <is>
          <t>Buy</t>
        </is>
      </c>
      <c r="G93" s="156" t="n">
        <v>0.251184153868236</v>
      </c>
      <c r="H93" s="157" t="n">
        <v>27.868</v>
      </c>
      <c r="I93" s="137" t="inlineStr">
        <is>
          <t>USD</t>
        </is>
      </c>
      <c r="J93" s="155">
        <f>IFERROR(LOOKUP(2,1/(tblFX[Date]&lt;=[@Date]),tblFX[Rate]),XLOOKUP("CURRENT_FX_USDTHB",tblSettings[Key],tblSettings[Value]))</f>
        <v/>
      </c>
      <c r="K93" s="128">
        <f>G93*H93*J93</f>
        <v/>
      </c>
      <c r="L93" s="146" t="n">
        <v>0</v>
      </c>
      <c r="M93" s="146" t="n">
        <v>7</v>
      </c>
      <c r="N93" s="146" t="inlineStr"/>
      <c r="O93" s="142" t="inlineStr">
        <is>
          <t>USA STOCK HIS 2</t>
        </is>
      </c>
      <c r="P93" s="142" t="inlineStr">
        <is>
          <t>5 มกราคม 2569 — ซื้อวันที่ 5 ม.ค. 69 เวลา 21:05-21:59 น.</t>
        </is>
      </c>
    </row>
    <row r="94">
      <c r="B94" s="153" t="inlineStr">
        <is>
          <t>ITX-00089</t>
        </is>
      </c>
      <c r="C94" s="144" t="n">
        <v>46027</v>
      </c>
      <c r="D94" s="158" t="inlineStr">
        <is>
          <t>SCHG</t>
        </is>
      </c>
      <c r="E94" s="137" t="inlineStr">
        <is>
          <t>US</t>
        </is>
      </c>
      <c r="F94" s="137" t="inlineStr">
        <is>
          <t>Buy</t>
        </is>
      </c>
      <c r="G94" s="156" t="n">
        <v>0.2750779387493123</v>
      </c>
      <c r="H94" s="157" t="n">
        <v>32.718</v>
      </c>
      <c r="I94" s="137" t="inlineStr">
        <is>
          <t>USD</t>
        </is>
      </c>
      <c r="J94" s="155">
        <f>IFERROR(LOOKUP(2,1/(tblFX[Date]&lt;=[@Date]),tblFX[Rate]),XLOOKUP("CURRENT_FX_USDTHB",tblSettings[Key],tblSettings[Value]))</f>
        <v/>
      </c>
      <c r="K94" s="128">
        <f>G94*H94*J94</f>
        <v/>
      </c>
      <c r="L94" s="146" t="n">
        <v>0</v>
      </c>
      <c r="M94" s="146" t="n">
        <v>9</v>
      </c>
      <c r="N94" s="146" t="inlineStr"/>
      <c r="O94" s="142" t="inlineStr">
        <is>
          <t>USA STOCK HIS 2</t>
        </is>
      </c>
      <c r="P94" s="142" t="inlineStr">
        <is>
          <t>5 มกราคม 2569 — ซื้อวันที่ 5 ม.ค. 69 เวลา 21:05-21:59 น.</t>
        </is>
      </c>
    </row>
    <row r="95">
      <c r="B95" s="153" t="inlineStr">
        <is>
          <t>ITX-00090</t>
        </is>
      </c>
      <c r="C95" s="144" t="n">
        <v>46027</v>
      </c>
      <c r="D95" s="158" t="inlineStr">
        <is>
          <t>UNH</t>
        </is>
      </c>
      <c r="E95" s="137" t="inlineStr">
        <is>
          <t>US</t>
        </is>
      </c>
      <c r="F95" s="137" t="inlineStr">
        <is>
          <t>Buy</t>
        </is>
      </c>
      <c r="G95" s="156" t="n">
        <v>0.01483767582645854</v>
      </c>
      <c r="H95" s="157" t="n">
        <v>336.98</v>
      </c>
      <c r="I95" s="137" t="inlineStr">
        <is>
          <t>USD</t>
        </is>
      </c>
      <c r="J95" s="155">
        <f>IFERROR(LOOKUP(2,1/(tblFX[Date]&lt;=[@Date]),tblFX[Rate]),XLOOKUP("CURRENT_FX_USDTHB",tblSettings[Key],tblSettings[Value]))</f>
        <v/>
      </c>
      <c r="K95" s="128">
        <f>G95*H95*J95</f>
        <v/>
      </c>
      <c r="L95" s="146" t="n">
        <v>0</v>
      </c>
      <c r="M95" s="146" t="n">
        <v>5</v>
      </c>
      <c r="N95" s="146" t="inlineStr"/>
      <c r="O95" s="142" t="inlineStr">
        <is>
          <t>USA STOCK HIS 2</t>
        </is>
      </c>
      <c r="P95" s="142" t="inlineStr">
        <is>
          <t>5 มกราคม 2569 — ซื้อวันที่ 5 ม.ค. 69 เวลา 21:05-21:59 น.</t>
        </is>
      </c>
    </row>
    <row r="96">
      <c r="B96" s="153" t="inlineStr">
        <is>
          <t>ITX-00091</t>
        </is>
      </c>
      <c r="C96" s="144" t="n">
        <v>46027</v>
      </c>
      <c r="D96" s="158" t="inlineStr">
        <is>
          <t>V</t>
        </is>
      </c>
      <c r="E96" s="137" t="inlineStr">
        <is>
          <t>US</t>
        </is>
      </c>
      <c r="F96" s="137" t="inlineStr">
        <is>
          <t>Buy</t>
        </is>
      </c>
      <c r="G96" s="156" t="n">
        <v>0.01422879908935686</v>
      </c>
      <c r="H96" s="157" t="n">
        <v>351.4</v>
      </c>
      <c r="I96" s="137" t="inlineStr">
        <is>
          <t>USD</t>
        </is>
      </c>
      <c r="J96" s="155">
        <f>IFERROR(LOOKUP(2,1/(tblFX[Date]&lt;=[@Date]),tblFX[Rate]),XLOOKUP("CURRENT_FX_USDTHB",tblSettings[Key],tblSettings[Value]))</f>
        <v/>
      </c>
      <c r="K96" s="128">
        <f>G96*H96*J96</f>
        <v/>
      </c>
      <c r="L96" s="146" t="n">
        <v>0</v>
      </c>
      <c r="M96" s="146" t="n">
        <v>5</v>
      </c>
      <c r="N96" s="146" t="inlineStr"/>
      <c r="O96" s="142" t="inlineStr">
        <is>
          <t>USA STOCK HIS 2</t>
        </is>
      </c>
      <c r="P96" s="142" t="inlineStr">
        <is>
          <t>5 มกราคม 2569 — ซื้อวันที่ 5 ม.ค. 69 เวลา 21:05-21:59 น.</t>
        </is>
      </c>
    </row>
    <row r="97">
      <c r="B97" s="153" t="inlineStr">
        <is>
          <t>ITX-00092</t>
        </is>
      </c>
      <c r="C97" s="144" t="n">
        <v>46044</v>
      </c>
      <c r="D97" s="158" t="inlineStr">
        <is>
          <t>MTS-GOLD</t>
        </is>
      </c>
      <c r="E97" s="137" t="inlineStr">
        <is>
          <t>Commodity</t>
        </is>
      </c>
      <c r="F97" s="137" t="inlineStr">
        <is>
          <t>Buy</t>
        </is>
      </c>
      <c r="G97" s="156" t="n">
        <v>0.0066</v>
      </c>
      <c r="H97" s="157" t="n">
        <v>4802.13</v>
      </c>
      <c r="I97" s="137" t="inlineStr">
        <is>
          <t>USD</t>
        </is>
      </c>
      <c r="J97" s="155">
        <f>IFERROR(LOOKUP(2,1/(tblFX[Date]&lt;=[@Date]),tblFX[Rate]),XLOOKUP("CURRENT_FX_USDTHB",tblSettings[Key],tblSettings[Value]))</f>
        <v/>
      </c>
      <c r="K97" s="128">
        <f>G97*H97*J97</f>
        <v/>
      </c>
      <c r="L97" s="146" t="n">
        <v>0</v>
      </c>
      <c r="M97" s="146" t="n">
        <v>31.6941</v>
      </c>
      <c r="N97" s="146" t="inlineStr"/>
      <c r="O97" s="142" t="inlineStr">
        <is>
          <t>Dime app IMG_7097-7102</t>
        </is>
      </c>
      <c r="P97" s="142" t="inlineStr"/>
    </row>
    <row r="98">
      <c r="B98" s="153" t="inlineStr">
        <is>
          <t>ITX-00093</t>
        </is>
      </c>
      <c r="C98" s="144" t="n">
        <v>46050</v>
      </c>
      <c r="D98" s="158" t="inlineStr">
        <is>
          <t>LLY</t>
        </is>
      </c>
      <c r="E98" s="137" t="inlineStr">
        <is>
          <t>US</t>
        </is>
      </c>
      <c r="F98" s="137" t="inlineStr">
        <is>
          <t>Buy</t>
        </is>
      </c>
      <c r="G98" s="156" t="n">
        <v>0.002950868047017164</v>
      </c>
      <c r="H98" s="157" t="n">
        <v>1016.65</v>
      </c>
      <c r="I98" s="137" t="inlineStr">
        <is>
          <t>USD</t>
        </is>
      </c>
      <c r="J98" s="155">
        <f>IFERROR(LOOKUP(2,1/(tblFX[Date]&lt;=[@Date]),tblFX[Rate]),XLOOKUP("CURRENT_FX_USDTHB",tblSettings[Key],tblSettings[Value]))</f>
        <v/>
      </c>
      <c r="K98" s="128">
        <f>G98*H98*J98</f>
        <v/>
      </c>
      <c r="L98" s="146" t="n">
        <v>0</v>
      </c>
      <c r="M98" s="146" t="n">
        <v>3</v>
      </c>
      <c r="N98" s="146" t="inlineStr"/>
      <c r="O98" s="142" t="inlineStr">
        <is>
          <t>USA STOCK HIS 2</t>
        </is>
      </c>
      <c r="P98" s="142" t="inlineStr">
        <is>
          <t>28 มกราคม 2569 — ซื้อวันที่ 28 ม.ค. 69 เวลา 22:21-22:22 น.</t>
        </is>
      </c>
    </row>
    <row r="99">
      <c r="B99" s="153" t="inlineStr">
        <is>
          <t>ITX-00094</t>
        </is>
      </c>
      <c r="C99" s="144" t="n">
        <v>46050</v>
      </c>
      <c r="D99" s="158" t="inlineStr">
        <is>
          <t>UNH</t>
        </is>
      </c>
      <c r="E99" s="137" t="inlineStr">
        <is>
          <t>US</t>
        </is>
      </c>
      <c r="F99" s="137" t="inlineStr">
        <is>
          <t>Buy</t>
        </is>
      </c>
      <c r="G99" s="156" t="n">
        <v>0.08678385959065789</v>
      </c>
      <c r="H99" s="157" t="n">
        <v>288.072</v>
      </c>
      <c r="I99" s="137" t="inlineStr">
        <is>
          <t>USD</t>
        </is>
      </c>
      <c r="J99" s="155">
        <f>IFERROR(LOOKUP(2,1/(tblFX[Date]&lt;=[@Date]),tblFX[Rate]),XLOOKUP("CURRENT_FX_USDTHB",tblSettings[Key],tblSettings[Value]))</f>
        <v/>
      </c>
      <c r="K99" s="128">
        <f>G99*H99*J99</f>
        <v/>
      </c>
      <c r="L99" s="146" t="n">
        <v>0</v>
      </c>
      <c r="M99" s="146" t="n">
        <v>25</v>
      </c>
      <c r="N99" s="146" t="inlineStr"/>
      <c r="O99" s="142" t="inlineStr">
        <is>
          <t>USA STOCK HIS 2</t>
        </is>
      </c>
      <c r="P99" s="142" t="inlineStr">
        <is>
          <t>28 มกราคม 2569 — ซื้อวันที่ 28 ม.ค. 69 เวลา 22:21-22:22 น.</t>
        </is>
      </c>
    </row>
    <row r="100">
      <c r="B100" s="153" t="inlineStr">
        <is>
          <t>ITX-00095</t>
        </is>
      </c>
      <c r="C100" s="144" t="n">
        <v>46051</v>
      </c>
      <c r="D100" s="158" t="inlineStr">
        <is>
          <t>MSFT</t>
        </is>
      </c>
      <c r="E100" s="137" t="inlineStr">
        <is>
          <t>US</t>
        </is>
      </c>
      <c r="F100" s="137" t="inlineStr">
        <is>
          <t>Buy</t>
        </is>
      </c>
      <c r="G100" s="156" t="n">
        <v>0.04723330892945705</v>
      </c>
      <c r="H100" s="157" t="n">
        <v>423.43</v>
      </c>
      <c r="I100" s="137" t="inlineStr">
        <is>
          <t>USD</t>
        </is>
      </c>
      <c r="J100" s="155">
        <f>IFERROR(LOOKUP(2,1/(tblFX[Date]&lt;=[@Date]),tblFX[Rate]),XLOOKUP("CURRENT_FX_USDTHB",tblSettings[Key],tblSettings[Value]))</f>
        <v/>
      </c>
      <c r="K100" s="128">
        <f>G100*H100*J100</f>
        <v/>
      </c>
      <c r="L100" s="146" t="n">
        <v>0</v>
      </c>
      <c r="M100" s="146" t="n">
        <v>20</v>
      </c>
      <c r="N100" s="146" t="inlineStr"/>
      <c r="O100" s="142" t="inlineStr">
        <is>
          <t>USA STOCK HIS 2</t>
        </is>
      </c>
      <c r="P100" s="142" t="inlineStr">
        <is>
          <t>29 มกราคม 2569 — ซื้อวันที่ 29 ม.ค. 69 เวลา 23:47-23:49 น.</t>
        </is>
      </c>
    </row>
    <row r="101">
      <c r="B101" s="153" t="inlineStr">
        <is>
          <t>ITX-00096</t>
        </is>
      </c>
      <c r="C101" s="144" t="n">
        <v>46051</v>
      </c>
      <c r="D101" s="158" t="inlineStr">
        <is>
          <t>MTS-GOLD</t>
        </is>
      </c>
      <c r="E101" s="137" t="inlineStr">
        <is>
          <t>Commodity</t>
        </is>
      </c>
      <c r="F101" s="137" t="inlineStr">
        <is>
          <t>Buy</t>
        </is>
      </c>
      <c r="G101" s="156" t="n">
        <v>0.008999999999999999</v>
      </c>
      <c r="H101" s="157" t="n">
        <v>5541.53</v>
      </c>
      <c r="I101" s="137" t="inlineStr">
        <is>
          <t>USD</t>
        </is>
      </c>
      <c r="J101" s="155">
        <f>IFERROR(LOOKUP(2,1/(tblFX[Date]&lt;=[@Date]),tblFX[Rate]),XLOOKUP("CURRENT_FX_USDTHB",tblSettings[Key],tblSettings[Value]))</f>
        <v/>
      </c>
      <c r="K101" s="128">
        <f>G101*H101*J101</f>
        <v/>
      </c>
      <c r="L101" s="146" t="n">
        <v>0</v>
      </c>
      <c r="M101" s="146" t="n">
        <v>49.8738</v>
      </c>
      <c r="N101" s="146" t="inlineStr"/>
      <c r="O101" s="142" t="inlineStr">
        <is>
          <t>Dime app IMG_7097-7102</t>
        </is>
      </c>
      <c r="P101" s="142" t="inlineStr"/>
    </row>
    <row r="102">
      <c r="B102" s="153" t="inlineStr">
        <is>
          <t>ITX-00097</t>
        </is>
      </c>
      <c r="C102" s="144" t="n">
        <v>46051</v>
      </c>
      <c r="D102" s="158" t="inlineStr">
        <is>
          <t>PRCT</t>
        </is>
      </c>
      <c r="E102" s="137" t="inlineStr">
        <is>
          <t>US</t>
        </is>
      </c>
      <c r="F102" s="137" t="inlineStr">
        <is>
          <t>Buy</t>
        </is>
      </c>
      <c r="G102" s="156" t="n">
        <v>0.06887052341597796</v>
      </c>
      <c r="H102" s="157" t="n">
        <v>29.04</v>
      </c>
      <c r="I102" s="137" t="inlineStr">
        <is>
          <t>USD</t>
        </is>
      </c>
      <c r="J102" s="155">
        <f>IFERROR(LOOKUP(2,1/(tblFX[Date]&lt;=[@Date]),tblFX[Rate]),XLOOKUP("CURRENT_FX_USDTHB",tblSettings[Key],tblSettings[Value]))</f>
        <v/>
      </c>
      <c r="K102" s="128">
        <f>G102*H102*J102</f>
        <v/>
      </c>
      <c r="L102" s="146" t="n">
        <v>0</v>
      </c>
      <c r="M102" s="146" t="n">
        <v>2</v>
      </c>
      <c r="N102" s="146" t="inlineStr"/>
      <c r="O102" s="142" t="inlineStr">
        <is>
          <t>USA STOCK HIS 2</t>
        </is>
      </c>
      <c r="P102" s="142" t="inlineStr">
        <is>
          <t>29 มกราคม 2569 — ซื้อวันที่ 29 ม.ค. 69 เวลา 23:47-23:49 น.</t>
        </is>
      </c>
    </row>
    <row r="103">
      <c r="B103" s="153" t="inlineStr">
        <is>
          <t>ITX-00098</t>
        </is>
      </c>
      <c r="C103" s="144" t="n">
        <v>46051</v>
      </c>
      <c r="D103" s="158" t="inlineStr">
        <is>
          <t>SCHG</t>
        </is>
      </c>
      <c r="E103" s="137" t="inlineStr">
        <is>
          <t>US</t>
        </is>
      </c>
      <c r="F103" s="137" t="inlineStr">
        <is>
          <t>Buy</t>
        </is>
      </c>
      <c r="G103" s="156" t="n">
        <v>0.376081233546446</v>
      </c>
      <c r="H103" s="157" t="n">
        <v>31.908</v>
      </c>
      <c r="I103" s="137" t="inlineStr">
        <is>
          <t>USD</t>
        </is>
      </c>
      <c r="J103" s="155">
        <f>IFERROR(LOOKUP(2,1/(tblFX[Date]&lt;=[@Date]),tblFX[Rate]),XLOOKUP("CURRENT_FX_USDTHB",tblSettings[Key],tblSettings[Value]))</f>
        <v/>
      </c>
      <c r="K103" s="128">
        <f>G103*H103*J103</f>
        <v/>
      </c>
      <c r="L103" s="146" t="n">
        <v>0</v>
      </c>
      <c r="M103" s="146" t="n">
        <v>12</v>
      </c>
      <c r="N103" s="146" t="inlineStr"/>
      <c r="O103" s="142" t="inlineStr">
        <is>
          <t>USA STOCK HIS 2</t>
        </is>
      </c>
      <c r="P103" s="142" t="inlineStr">
        <is>
          <t>29 มกราคม 2569 — ซื้อวันที่ 29 ม.ค. 69 เวลา 23:47-23:49 น.</t>
        </is>
      </c>
    </row>
    <row r="104">
      <c r="B104" s="153" t="inlineStr">
        <is>
          <t>ITX-00099</t>
        </is>
      </c>
      <c r="C104" s="144" t="n">
        <v>46051</v>
      </c>
      <c r="D104" s="158" t="inlineStr">
        <is>
          <t>V</t>
        </is>
      </c>
      <c r="E104" s="137" t="inlineStr">
        <is>
          <t>US</t>
        </is>
      </c>
      <c r="F104" s="137" t="inlineStr">
        <is>
          <t>Buy</t>
        </is>
      </c>
      <c r="G104" s="156" t="n">
        <v>0.0303425675880693</v>
      </c>
      <c r="H104" s="157" t="n">
        <v>329.57</v>
      </c>
      <c r="I104" s="137" t="inlineStr">
        <is>
          <t>USD</t>
        </is>
      </c>
      <c r="J104" s="155">
        <f>IFERROR(LOOKUP(2,1/(tblFX[Date]&lt;=[@Date]),tblFX[Rate]),XLOOKUP("CURRENT_FX_USDTHB",tblSettings[Key],tblSettings[Value]))</f>
        <v/>
      </c>
      <c r="K104" s="128">
        <f>G104*H104*J104</f>
        <v/>
      </c>
      <c r="L104" s="146" t="n">
        <v>0</v>
      </c>
      <c r="M104" s="146" t="n">
        <v>10</v>
      </c>
      <c r="N104" s="146" t="inlineStr"/>
      <c r="O104" s="142" t="inlineStr">
        <is>
          <t>USA STOCK HIS 2</t>
        </is>
      </c>
      <c r="P104" s="142" t="inlineStr">
        <is>
          <t>29 มกราคม 2569 — ซื้อวันที่ 29 ม.ค. 69 เวลา 23:47-23:49 น.</t>
        </is>
      </c>
    </row>
    <row r="105">
      <c r="B105" s="153" t="inlineStr">
        <is>
          <t>ITX-00100</t>
        </is>
      </c>
      <c r="C105" s="144" t="n">
        <v>46059</v>
      </c>
      <c r="D105" s="158" t="inlineStr">
        <is>
          <t>AMZN</t>
        </is>
      </c>
      <c r="E105" s="137" t="inlineStr">
        <is>
          <t>US</t>
        </is>
      </c>
      <c r="F105" s="137" t="inlineStr">
        <is>
          <t>Buy</t>
        </is>
      </c>
      <c r="G105" s="156" t="n">
        <v>0.02487438435898712</v>
      </c>
      <c r="H105" s="157" t="n">
        <v>201.01</v>
      </c>
      <c r="I105" s="137" t="inlineStr">
        <is>
          <t>USD</t>
        </is>
      </c>
      <c r="J105" s="155">
        <f>IFERROR(LOOKUP(2,1/(tblFX[Date]&lt;=[@Date]),tblFX[Rate]),XLOOKUP("CURRENT_FX_USDTHB",tblSettings[Key],tblSettings[Value]))</f>
        <v/>
      </c>
      <c r="K105" s="128">
        <f>G105*H105*J105</f>
        <v/>
      </c>
      <c r="L105" s="146" t="n">
        <v>0</v>
      </c>
      <c r="M105" s="146" t="n">
        <v>5</v>
      </c>
      <c r="N105" s="146" t="inlineStr"/>
      <c r="O105" s="142" t="inlineStr">
        <is>
          <t>USA STOCK HIS 2</t>
        </is>
      </c>
      <c r="P105" s="142" t="inlineStr">
        <is>
          <t>6 กุมภาพันธ์ 2569 — ซื้อวันที่ 6 ก.พ. 69 เวลา 21:29-21:32 น.</t>
        </is>
      </c>
    </row>
    <row r="106">
      <c r="B106" s="153" t="inlineStr">
        <is>
          <t>ITX-00101</t>
        </is>
      </c>
      <c r="C106" s="144" t="n">
        <v>46059</v>
      </c>
      <c r="D106" s="158" t="inlineStr">
        <is>
          <t>META</t>
        </is>
      </c>
      <c r="E106" s="137" t="inlineStr">
        <is>
          <t>US</t>
        </is>
      </c>
      <c r="F106" s="137" t="inlineStr">
        <is>
          <t>Buy</t>
        </is>
      </c>
      <c r="G106" s="156" t="n">
        <v>0.005994233547327471</v>
      </c>
      <c r="H106" s="157" t="n">
        <v>667.308</v>
      </c>
      <c r="I106" s="137" t="inlineStr">
        <is>
          <t>USD</t>
        </is>
      </c>
      <c r="J106" s="155">
        <f>IFERROR(LOOKUP(2,1/(tblFX[Date]&lt;=[@Date]),tblFX[Rate]),XLOOKUP("CURRENT_FX_USDTHB",tblSettings[Key],tblSettings[Value]))</f>
        <v/>
      </c>
      <c r="K106" s="128">
        <f>G106*H106*J106</f>
        <v/>
      </c>
      <c r="L106" s="146" t="n">
        <v>0</v>
      </c>
      <c r="M106" s="146" t="n">
        <v>4</v>
      </c>
      <c r="N106" s="146" t="inlineStr"/>
      <c r="O106" s="142" t="inlineStr">
        <is>
          <t>USA STOCK HIS 2</t>
        </is>
      </c>
      <c r="P106" s="142" t="inlineStr">
        <is>
          <t>6 กุมภาพันธ์ 2569 — ซื้อวันที่ 6 ก.พ. 69 เวลา 21:29-21:32 น.</t>
        </is>
      </c>
    </row>
    <row r="107">
      <c r="B107" s="153" t="inlineStr">
        <is>
          <t>ITX-00102</t>
        </is>
      </c>
      <c r="C107" s="144" t="n">
        <v>46059</v>
      </c>
      <c r="D107" s="158" t="inlineStr">
        <is>
          <t>NVDA</t>
        </is>
      </c>
      <c r="E107" s="137" t="inlineStr">
        <is>
          <t>US</t>
        </is>
      </c>
      <c r="F107" s="137" t="inlineStr">
        <is>
          <t>Buy</t>
        </is>
      </c>
      <c r="G107" s="156" t="n">
        <v>0.1415708703777111</v>
      </c>
      <c r="H107" s="157" t="n">
        <v>176.59</v>
      </c>
      <c r="I107" s="137" t="inlineStr">
        <is>
          <t>USD</t>
        </is>
      </c>
      <c r="J107" s="155">
        <f>IFERROR(LOOKUP(2,1/(tblFX[Date]&lt;=[@Date]),tblFX[Rate]),XLOOKUP("CURRENT_FX_USDTHB",tblSettings[Key],tblSettings[Value]))</f>
        <v/>
      </c>
      <c r="K107" s="128">
        <f>G107*H107*J107</f>
        <v/>
      </c>
      <c r="L107" s="146" t="n">
        <v>0</v>
      </c>
      <c r="M107" s="146" t="n">
        <v>25</v>
      </c>
      <c r="N107" s="146" t="inlineStr"/>
      <c r="O107" s="142" t="inlineStr">
        <is>
          <t>USA STOCK HIS 2</t>
        </is>
      </c>
      <c r="P107" s="142" t="inlineStr">
        <is>
          <t>6 กุมภาพันธ์ 2569 — ซื้อวันที่ 6 ก.พ. 69 เวลา 21:29-21:32 น.</t>
        </is>
      </c>
    </row>
    <row r="108">
      <c r="B108" s="153" t="inlineStr">
        <is>
          <t>ITX-00103</t>
        </is>
      </c>
      <c r="C108" s="144" t="n">
        <v>46064</v>
      </c>
      <c r="D108" s="158" t="inlineStr">
        <is>
          <t>GOOGL</t>
        </is>
      </c>
      <c r="E108" s="137" t="inlineStr">
        <is>
          <t>US</t>
        </is>
      </c>
      <c r="F108" s="137" t="inlineStr">
        <is>
          <t>Buy</t>
        </is>
      </c>
      <c r="G108" s="156" t="n">
        <v>0.01582318539709866</v>
      </c>
      <c r="H108" s="157" t="n">
        <v>315.992</v>
      </c>
      <c r="I108" s="137" t="inlineStr">
        <is>
          <t>USD</t>
        </is>
      </c>
      <c r="J108" s="155">
        <f>IFERROR(LOOKUP(2,1/(tblFX[Date]&lt;=[@Date]),tblFX[Rate]),XLOOKUP("CURRENT_FX_USDTHB",tblSettings[Key],tblSettings[Value]))</f>
        <v/>
      </c>
      <c r="K108" s="128">
        <f>G108*H108*J108</f>
        <v/>
      </c>
      <c r="L108" s="146" t="n">
        <v>0</v>
      </c>
      <c r="M108" s="146" t="n">
        <v>5</v>
      </c>
      <c r="N108" s="146" t="inlineStr"/>
      <c r="O108" s="142" t="inlineStr">
        <is>
          <t>USA STOCK HIS 2</t>
        </is>
      </c>
      <c r="P108" s="142" t="inlineStr">
        <is>
          <t>11 กุมภาพันธ์ 2569 — ซื้อวันที่ 11 ก.พ. 69 เวลา 21:59 น.</t>
        </is>
      </c>
    </row>
    <row r="109">
      <c r="B109" s="153" t="inlineStr">
        <is>
          <t>ITX-00104</t>
        </is>
      </c>
      <c r="C109" s="144" t="n">
        <v>46066</v>
      </c>
      <c r="D109" s="158" t="inlineStr">
        <is>
          <t>MTS-GOLD</t>
        </is>
      </c>
      <c r="E109" s="137" t="inlineStr">
        <is>
          <t>Commodity</t>
        </is>
      </c>
      <c r="F109" s="137" t="inlineStr">
        <is>
          <t>Buy</t>
        </is>
      </c>
      <c r="G109" s="156" t="n">
        <v>0.005</v>
      </c>
      <c r="H109" s="157" t="n">
        <v>4943.71</v>
      </c>
      <c r="I109" s="137" t="inlineStr">
        <is>
          <t>USD</t>
        </is>
      </c>
      <c r="J109" s="155">
        <f>IFERROR(LOOKUP(2,1/(tblFX[Date]&lt;=[@Date]),tblFX[Rate]),XLOOKUP("CURRENT_FX_USDTHB",tblSettings[Key],tblSettings[Value]))</f>
        <v/>
      </c>
      <c r="K109" s="128">
        <f>G109*H109*J109</f>
        <v/>
      </c>
      <c r="L109" s="146" t="n">
        <v>0</v>
      </c>
      <c r="M109" s="146" t="n">
        <v>24.7186</v>
      </c>
      <c r="N109" s="146" t="inlineStr"/>
      <c r="O109" s="142" t="inlineStr">
        <is>
          <t>Dime app IMG_7097-7102</t>
        </is>
      </c>
      <c r="P109" s="142" t="inlineStr"/>
    </row>
    <row r="110">
      <c r="B110" s="153" t="inlineStr">
        <is>
          <t>ITX-00105</t>
        </is>
      </c>
      <c r="C110" s="144" t="n">
        <v>46076</v>
      </c>
      <c r="D110" s="158" t="inlineStr">
        <is>
          <t>MTS-GOLD</t>
        </is>
      </c>
      <c r="E110" s="137" t="inlineStr">
        <is>
          <t>Commodity</t>
        </is>
      </c>
      <c r="F110" s="137" t="inlineStr">
        <is>
          <t>Buy</t>
        </is>
      </c>
      <c r="G110" s="156" t="n">
        <v>0.0038</v>
      </c>
      <c r="H110" s="157" t="n">
        <v>5133.73</v>
      </c>
      <c r="I110" s="137" t="inlineStr">
        <is>
          <t>USD</t>
        </is>
      </c>
      <c r="J110" s="155">
        <f>IFERROR(LOOKUP(2,1/(tblFX[Date]&lt;=[@Date]),tblFX[Rate]),XLOOKUP("CURRENT_FX_USDTHB",tblSettings[Key],tblSettings[Value]))</f>
        <v/>
      </c>
      <c r="K110" s="128">
        <f>G110*H110*J110</f>
        <v/>
      </c>
      <c r="L110" s="146" t="n">
        <v>0</v>
      </c>
      <c r="M110" s="146" t="n">
        <v>19.5082</v>
      </c>
      <c r="N110" s="146" t="inlineStr"/>
      <c r="O110" s="142" t="inlineStr">
        <is>
          <t>Dime app IMG_7097-7102</t>
        </is>
      </c>
      <c r="P110" s="142" t="inlineStr"/>
    </row>
    <row r="111">
      <c r="B111" s="153" t="inlineStr">
        <is>
          <t>ITX-00106</t>
        </is>
      </c>
      <c r="C111" s="144" t="n">
        <v>46080</v>
      </c>
      <c r="D111" s="158" t="inlineStr">
        <is>
          <t>BEPC</t>
        </is>
      </c>
      <c r="E111" s="137" t="inlineStr">
        <is>
          <t>US</t>
        </is>
      </c>
      <c r="F111" s="137" t="inlineStr">
        <is>
          <t>Buy</t>
        </is>
      </c>
      <c r="G111" s="156" t="n">
        <v>0.1839587932303164</v>
      </c>
      <c r="H111" s="157" t="n">
        <v>43.488</v>
      </c>
      <c r="I111" s="137" t="inlineStr">
        <is>
          <t>USD</t>
        </is>
      </c>
      <c r="J111" s="155">
        <f>IFERROR(LOOKUP(2,1/(tblFX[Date]&lt;=[@Date]),tblFX[Rate]),XLOOKUP("CURRENT_FX_USDTHB",tblSettings[Key],tblSettings[Value]))</f>
        <v/>
      </c>
      <c r="K111" s="128">
        <f>G111*H111*J111</f>
        <v/>
      </c>
      <c r="L111" s="146" t="n">
        <v>0</v>
      </c>
      <c r="M111" s="146" t="n">
        <v>8</v>
      </c>
      <c r="N111" s="146" t="inlineStr"/>
      <c r="O111" s="142" t="inlineStr">
        <is>
          <t>USA STOCK HIS 2</t>
        </is>
      </c>
      <c r="P111" s="142" t="inlineStr">
        <is>
          <t>27 กุมภาพันธ์ 2569 — ซื้อวันที่ 27 ก.พ. 69 เวลา 22:54-23:06 น.</t>
        </is>
      </c>
    </row>
    <row r="112">
      <c r="B112" s="153" t="inlineStr">
        <is>
          <t>ITX-00107</t>
        </is>
      </c>
      <c r="C112" s="144" t="n">
        <v>46080</v>
      </c>
      <c r="D112" s="158" t="inlineStr">
        <is>
          <t>GOOGL</t>
        </is>
      </c>
      <c r="E112" s="137" t="inlineStr">
        <is>
          <t>US</t>
        </is>
      </c>
      <c r="F112" s="137" t="inlineStr">
        <is>
          <t>Buy</t>
        </is>
      </c>
      <c r="G112" s="156" t="n">
        <v>0.03565778895775525</v>
      </c>
      <c r="H112" s="157" t="n">
        <v>308.488</v>
      </c>
      <c r="I112" s="137" t="inlineStr">
        <is>
          <t>USD</t>
        </is>
      </c>
      <c r="J112" s="155">
        <f>IFERROR(LOOKUP(2,1/(tblFX[Date]&lt;=[@Date]),tblFX[Rate]),XLOOKUP("CURRENT_FX_USDTHB",tblSettings[Key],tblSettings[Value]))</f>
        <v/>
      </c>
      <c r="K112" s="128">
        <f>G112*H112*J112</f>
        <v/>
      </c>
      <c r="L112" s="146" t="n">
        <v>0</v>
      </c>
      <c r="M112" s="146" t="n">
        <v>11</v>
      </c>
      <c r="N112" s="146" t="inlineStr"/>
      <c r="O112" s="142" t="inlineStr">
        <is>
          <t>USA STOCK HIS 2</t>
        </is>
      </c>
      <c r="P112" s="142" t="inlineStr">
        <is>
          <t>27 กุมภาพันธ์ 2569 — ซื้อวันที่ 27 ก.พ. 69 เวลา 22:54-23:06 น.</t>
        </is>
      </c>
    </row>
    <row r="113">
      <c r="B113" s="153" t="inlineStr">
        <is>
          <t>ITX-00108</t>
        </is>
      </c>
      <c r="C113" s="144" t="n">
        <v>46080</v>
      </c>
      <c r="D113" s="158" t="inlineStr">
        <is>
          <t>MSFT</t>
        </is>
      </c>
      <c r="E113" s="137" t="inlineStr">
        <is>
          <t>US</t>
        </is>
      </c>
      <c r="F113" s="137" t="inlineStr">
        <is>
          <t>Buy</t>
        </is>
      </c>
      <c r="G113" s="156" t="n">
        <v>0.03040745996351105</v>
      </c>
      <c r="H113" s="157" t="n">
        <v>394.64</v>
      </c>
      <c r="I113" s="137" t="inlineStr">
        <is>
          <t>USD</t>
        </is>
      </c>
      <c r="J113" s="155">
        <f>IFERROR(LOOKUP(2,1/(tblFX[Date]&lt;=[@Date]),tblFX[Rate]),XLOOKUP("CURRENT_FX_USDTHB",tblSettings[Key],tblSettings[Value]))</f>
        <v/>
      </c>
      <c r="K113" s="128">
        <f>G113*H113*J113</f>
        <v/>
      </c>
      <c r="L113" s="146" t="n">
        <v>0</v>
      </c>
      <c r="M113" s="146" t="n">
        <v>12</v>
      </c>
      <c r="N113" s="146" t="inlineStr"/>
      <c r="O113" s="142" t="inlineStr">
        <is>
          <t>USA STOCK HIS 2</t>
        </is>
      </c>
      <c r="P113" s="142" t="inlineStr">
        <is>
          <t>27 กุมภาพันธ์ 2569 — ซื้อวันที่ 27 ก.พ. 69 เวลา 22:54-23:06 น.</t>
        </is>
      </c>
    </row>
    <row r="114">
      <c r="B114" s="153" t="inlineStr">
        <is>
          <t>ITX-00109</t>
        </is>
      </c>
      <c r="C114" s="144" t="n">
        <v>46080</v>
      </c>
      <c r="D114" s="158" t="inlineStr">
        <is>
          <t>SCHD</t>
        </is>
      </c>
      <c r="E114" s="137" t="inlineStr">
        <is>
          <t>US</t>
        </is>
      </c>
      <c r="F114" s="137" t="inlineStr">
        <is>
          <t>Buy</t>
        </is>
      </c>
      <c r="G114" s="156" t="n">
        <v>0.3171783811215428</v>
      </c>
      <c r="H114" s="157" t="n">
        <v>31.528</v>
      </c>
      <c r="I114" s="137" t="inlineStr">
        <is>
          <t>USD</t>
        </is>
      </c>
      <c r="J114" s="155">
        <f>IFERROR(LOOKUP(2,1/(tblFX[Date]&lt;=[@Date]),tblFX[Rate]),XLOOKUP("CURRENT_FX_USDTHB",tblSettings[Key],tblSettings[Value]))</f>
        <v/>
      </c>
      <c r="K114" s="128">
        <f>G114*H114*J114</f>
        <v/>
      </c>
      <c r="L114" s="146" t="n">
        <v>0</v>
      </c>
      <c r="M114" s="146" t="n">
        <v>10</v>
      </c>
      <c r="N114" s="146" t="inlineStr"/>
      <c r="O114" s="142" t="inlineStr">
        <is>
          <t>USA STOCK HIS 2</t>
        </is>
      </c>
      <c r="P114" s="142" t="inlineStr">
        <is>
          <t>27 กุมภาพันธ์ 2569 — ซื้อวันที่ 27 ก.พ. 69 เวลา 22:54-23:06 น.</t>
        </is>
      </c>
    </row>
    <row r="115">
      <c r="B115" s="153" t="inlineStr">
        <is>
          <t>ITX-00110</t>
        </is>
      </c>
      <c r="C115" s="144" t="n">
        <v>46080</v>
      </c>
      <c r="D115" s="158" t="inlineStr">
        <is>
          <t>SCHG</t>
        </is>
      </c>
      <c r="E115" s="137" t="inlineStr">
        <is>
          <t>US</t>
        </is>
      </c>
      <c r="F115" s="137" t="inlineStr">
        <is>
          <t>Buy</t>
        </is>
      </c>
      <c r="G115" s="156" t="n">
        <v>0.2606032966317024</v>
      </c>
      <c r="H115" s="157" t="n">
        <v>30.698</v>
      </c>
      <c r="I115" s="137" t="inlineStr">
        <is>
          <t>USD</t>
        </is>
      </c>
      <c r="J115" s="155">
        <f>IFERROR(LOOKUP(2,1/(tblFX[Date]&lt;=[@Date]),tblFX[Rate]),XLOOKUP("CURRENT_FX_USDTHB",tblSettings[Key],tblSettings[Value]))</f>
        <v/>
      </c>
      <c r="K115" s="128">
        <f>G115*H115*J115</f>
        <v/>
      </c>
      <c r="L115" s="146" t="n">
        <v>0</v>
      </c>
      <c r="M115" s="146" t="n">
        <v>8</v>
      </c>
      <c r="N115" s="146" t="inlineStr"/>
      <c r="O115" s="142" t="inlineStr">
        <is>
          <t>USA STOCK HIS 2</t>
        </is>
      </c>
      <c r="P115" s="142" t="inlineStr">
        <is>
          <t>27 กุมภาพันธ์ 2569 — ซื้อวันที่ 27 ก.พ. 69 เวลา 22:54-23:06 น.</t>
        </is>
      </c>
    </row>
    <row r="116">
      <c r="B116" s="153" t="inlineStr">
        <is>
          <t>ITX-00111</t>
        </is>
      </c>
      <c r="C116" s="144" t="n">
        <v>46084</v>
      </c>
      <c r="D116" s="158" t="inlineStr">
        <is>
          <t>AAPL</t>
        </is>
      </c>
      <c r="E116" s="137" t="inlineStr">
        <is>
          <t>US</t>
        </is>
      </c>
      <c r="F116" s="137" t="inlineStr">
        <is>
          <t>Buy</t>
        </is>
      </c>
      <c r="G116" s="156" t="n">
        <v>0.04139322054307905</v>
      </c>
      <c r="H116" s="157" t="n">
        <v>265.744</v>
      </c>
      <c r="I116" s="137" t="inlineStr">
        <is>
          <t>USD</t>
        </is>
      </c>
      <c r="J116" s="155">
        <f>IFERROR(LOOKUP(2,1/(tblFX[Date]&lt;=[@Date]),tblFX[Rate]),XLOOKUP("CURRENT_FX_USDTHB",tblSettings[Key],tblSettings[Value]))</f>
        <v/>
      </c>
      <c r="K116" s="128">
        <f>G116*H116*J116</f>
        <v/>
      </c>
      <c r="L116" s="146" t="n">
        <v>0</v>
      </c>
      <c r="M116" s="146" t="n">
        <v>11</v>
      </c>
      <c r="N116" s="146" t="inlineStr"/>
      <c r="O116" s="142" t="inlineStr">
        <is>
          <t>USA STOCK HIS 2</t>
        </is>
      </c>
      <c r="P116" s="142" t="inlineStr">
        <is>
          <t>3 มีนาคม 2569 (ช่วงเที่ยงคืน) — ซื้อวันที่ 3 มี.ค. 69 เวลา 00:29-00:35 น.</t>
        </is>
      </c>
    </row>
    <row r="117">
      <c r="B117" s="153" t="inlineStr">
        <is>
          <t>ITX-00112</t>
        </is>
      </c>
      <c r="C117" s="144" t="n">
        <v>46084</v>
      </c>
      <c r="D117" s="158" t="inlineStr">
        <is>
          <t>AMZN</t>
        </is>
      </c>
      <c r="E117" s="137" t="inlineStr">
        <is>
          <t>US</t>
        </is>
      </c>
      <c r="F117" s="137" t="inlineStr">
        <is>
          <t>Buy</t>
        </is>
      </c>
      <c r="G117" s="156" t="n">
        <v>0.1231624167422063</v>
      </c>
      <c r="H117" s="157" t="n">
        <v>202.984</v>
      </c>
      <c r="I117" s="137" t="inlineStr">
        <is>
          <t>USD</t>
        </is>
      </c>
      <c r="J117" s="155">
        <f>IFERROR(LOOKUP(2,1/(tblFX[Date]&lt;=[@Date]),tblFX[Rate]),XLOOKUP("CURRENT_FX_USDTHB",tblSettings[Key],tblSettings[Value]))</f>
        <v/>
      </c>
      <c r="K117" s="128">
        <f>G117*H117*J117</f>
        <v/>
      </c>
      <c r="L117" s="146" t="n">
        <v>0</v>
      </c>
      <c r="M117" s="146" t="n">
        <v>25</v>
      </c>
      <c r="N117" s="146" t="inlineStr"/>
      <c r="O117" s="142" t="inlineStr">
        <is>
          <t>USA STOCK HIS 2</t>
        </is>
      </c>
      <c r="P117" s="142" t="inlineStr">
        <is>
          <t>3 มีนาคม 2569 (ช่วงเย็น) — ซื้อวันที่ 3 มี.ค. 69 เวลา 22:53-22:57 น.</t>
        </is>
      </c>
    </row>
    <row r="118">
      <c r="B118" s="153" t="inlineStr">
        <is>
          <t>ITX-00113</t>
        </is>
      </c>
      <c r="C118" s="144" t="n">
        <v>46084</v>
      </c>
      <c r="D118" s="158" t="inlineStr">
        <is>
          <t>AMZN</t>
        </is>
      </c>
      <c r="E118" s="137" t="inlineStr">
        <is>
          <t>US</t>
        </is>
      </c>
      <c r="F118" s="137" t="inlineStr">
        <is>
          <t>Buy</t>
        </is>
      </c>
      <c r="G118" s="156" t="n">
        <v>0.02874251497005988</v>
      </c>
      <c r="H118" s="157" t="n">
        <v>208.75</v>
      </c>
      <c r="I118" s="137" t="inlineStr">
        <is>
          <t>USD</t>
        </is>
      </c>
      <c r="J118" s="155">
        <f>IFERROR(LOOKUP(2,1/(tblFX[Date]&lt;=[@Date]),tblFX[Rate]),XLOOKUP("CURRENT_FX_USDTHB",tblSettings[Key],tblSettings[Value]))</f>
        <v/>
      </c>
      <c r="K118" s="128">
        <f>G118*H118*J118</f>
        <v/>
      </c>
      <c r="L118" s="146" t="n">
        <v>0</v>
      </c>
      <c r="M118" s="146" t="n">
        <v>6</v>
      </c>
      <c r="N118" s="146" t="inlineStr"/>
      <c r="O118" s="142" t="inlineStr">
        <is>
          <t>USA STOCK HIS 2</t>
        </is>
      </c>
      <c r="P118" s="142" t="inlineStr">
        <is>
          <t>3 มีนาคม 2569 (ช่วงเที่ยงคืน) — ซื้อวันที่ 3 มี.ค. 69 เวลา 00:29-00:35 น.</t>
        </is>
      </c>
    </row>
    <row r="119">
      <c r="B119" s="153" t="inlineStr">
        <is>
          <t>ITX-00114</t>
        </is>
      </c>
      <c r="C119" s="144" t="n">
        <v>46084</v>
      </c>
      <c r="D119" s="158" t="inlineStr">
        <is>
          <t>GOOGL</t>
        </is>
      </c>
      <c r="E119" s="137" t="inlineStr">
        <is>
          <t>US</t>
        </is>
      </c>
      <c r="F119" s="137" t="inlineStr">
        <is>
          <t>Buy</t>
        </is>
      </c>
      <c r="G119" s="156" t="n">
        <v>0.08410485520508128</v>
      </c>
      <c r="H119" s="157" t="n">
        <v>297.248</v>
      </c>
      <c r="I119" s="137" t="inlineStr">
        <is>
          <t>USD</t>
        </is>
      </c>
      <c r="J119" s="155">
        <f>IFERROR(LOOKUP(2,1/(tblFX[Date]&lt;=[@Date]),tblFX[Rate]),XLOOKUP("CURRENT_FX_USDTHB",tblSettings[Key],tblSettings[Value]))</f>
        <v/>
      </c>
      <c r="K119" s="128">
        <f>G119*H119*J119</f>
        <v/>
      </c>
      <c r="L119" s="146" t="n">
        <v>0</v>
      </c>
      <c r="M119" s="146" t="n">
        <v>25</v>
      </c>
      <c r="N119" s="146" t="inlineStr"/>
      <c r="O119" s="142" t="inlineStr">
        <is>
          <t>USA STOCK HIS 2</t>
        </is>
      </c>
      <c r="P119" s="142" t="inlineStr">
        <is>
          <t>3 มีนาคม 2569 (ช่วงเย็น) — ซื้อวันที่ 3 มี.ค. 69 เวลา 22:53-22:57 น.</t>
        </is>
      </c>
    </row>
    <row r="120">
      <c r="B120" s="153" t="inlineStr">
        <is>
          <t>ITX-00115</t>
        </is>
      </c>
      <c r="C120" s="144" t="n">
        <v>46084</v>
      </c>
      <c r="D120" s="158" t="inlineStr">
        <is>
          <t>LLY</t>
        </is>
      </c>
      <c r="E120" s="137" t="inlineStr">
        <is>
          <t>US</t>
        </is>
      </c>
      <c r="F120" s="137" t="inlineStr">
        <is>
          <t>Buy</t>
        </is>
      </c>
      <c r="G120" s="156" t="n">
        <v>0.004879610255769651</v>
      </c>
      <c r="H120" s="157" t="n">
        <v>1024.672</v>
      </c>
      <c r="I120" s="137" t="inlineStr">
        <is>
          <t>USD</t>
        </is>
      </c>
      <c r="J120" s="155">
        <f>IFERROR(LOOKUP(2,1/(tblFX[Date]&lt;=[@Date]),tblFX[Rate]),XLOOKUP("CURRENT_FX_USDTHB",tblSettings[Key],tblSettings[Value]))</f>
        <v/>
      </c>
      <c r="K120" s="128">
        <f>G120*H120*J120</f>
        <v/>
      </c>
      <c r="L120" s="146" t="n">
        <v>0</v>
      </c>
      <c r="M120" s="146" t="n">
        <v>5</v>
      </c>
      <c r="N120" s="146" t="inlineStr"/>
      <c r="O120" s="142" t="inlineStr">
        <is>
          <t>USA STOCK HIS 2</t>
        </is>
      </c>
      <c r="P120" s="142" t="inlineStr">
        <is>
          <t>3 มีนาคม 2569 (ช่วงเที่ยงคืน) — ซื้อวันที่ 3 มี.ค. 69 เวลา 00:29-00:35 น.</t>
        </is>
      </c>
    </row>
    <row r="121">
      <c r="B121" s="153" t="inlineStr">
        <is>
          <t>ITX-00116</t>
        </is>
      </c>
      <c r="C121" s="144" t="n">
        <v>46084</v>
      </c>
      <c r="D121" s="158" t="inlineStr">
        <is>
          <t>META</t>
        </is>
      </c>
      <c r="E121" s="137" t="inlineStr">
        <is>
          <t>US</t>
        </is>
      </c>
      <c r="F121" s="137" t="inlineStr">
        <is>
          <t>Buy</t>
        </is>
      </c>
      <c r="G121" s="156" t="n">
        <v>0.03891983448172791</v>
      </c>
      <c r="H121" s="157" t="n">
        <v>642.346</v>
      </c>
      <c r="I121" s="137" t="inlineStr">
        <is>
          <t>USD</t>
        </is>
      </c>
      <c r="J121" s="155">
        <f>IFERROR(LOOKUP(2,1/(tblFX[Date]&lt;=[@Date]),tblFX[Rate]),XLOOKUP("CURRENT_FX_USDTHB",tblSettings[Key],tblSettings[Value]))</f>
        <v/>
      </c>
      <c r="K121" s="128">
        <f>G121*H121*J121</f>
        <v/>
      </c>
      <c r="L121" s="146" t="n">
        <v>0</v>
      </c>
      <c r="M121" s="146" t="n">
        <v>25</v>
      </c>
      <c r="N121" s="146" t="inlineStr"/>
      <c r="O121" s="142" t="inlineStr">
        <is>
          <t>USA STOCK HIS 2</t>
        </is>
      </c>
      <c r="P121" s="142" t="inlineStr">
        <is>
          <t>3 มีนาคม 2569 (ช่วงเย็น) — ซื้อวันที่ 3 มี.ค. 69 เวลา 22:53-22:57 น.</t>
        </is>
      </c>
    </row>
    <row r="122">
      <c r="B122" s="153" t="inlineStr">
        <is>
          <t>ITX-00117</t>
        </is>
      </c>
      <c r="C122" s="144" t="n">
        <v>46084</v>
      </c>
      <c r="D122" s="158" t="inlineStr">
        <is>
          <t>META</t>
        </is>
      </c>
      <c r="E122" s="137" t="inlineStr">
        <is>
          <t>US</t>
        </is>
      </c>
      <c r="F122" s="137" t="inlineStr">
        <is>
          <t>Buy</t>
        </is>
      </c>
      <c r="G122" s="156" t="n">
        <v>0.007618652900268786</v>
      </c>
      <c r="H122" s="157" t="n">
        <v>656.284</v>
      </c>
      <c r="I122" s="137" t="inlineStr">
        <is>
          <t>USD</t>
        </is>
      </c>
      <c r="J122" s="155">
        <f>IFERROR(LOOKUP(2,1/(tblFX[Date]&lt;=[@Date]),tblFX[Rate]),XLOOKUP("CURRENT_FX_USDTHB",tblSettings[Key],tblSettings[Value]))</f>
        <v/>
      </c>
      <c r="K122" s="128">
        <f>G122*H122*J122</f>
        <v/>
      </c>
      <c r="L122" s="146" t="n">
        <v>0</v>
      </c>
      <c r="M122" s="146" t="n">
        <v>5</v>
      </c>
      <c r="N122" s="146" t="inlineStr"/>
      <c r="O122" s="142" t="inlineStr">
        <is>
          <t>USA STOCK HIS 2</t>
        </is>
      </c>
      <c r="P122" s="142" t="inlineStr">
        <is>
          <t>3 มีนาคม 2569 (ช่วงเที่ยงคืน) — ซื้อวันที่ 3 มี.ค. 69 เวลา 00:29-00:35 น.</t>
        </is>
      </c>
    </row>
    <row r="123">
      <c r="B123" s="153" t="inlineStr">
        <is>
          <t>ITX-00118</t>
        </is>
      </c>
      <c r="C123" s="144" t="n">
        <v>46084</v>
      </c>
      <c r="D123" s="158" t="inlineStr">
        <is>
          <t>MSFT</t>
        </is>
      </c>
      <c r="E123" s="137" t="inlineStr">
        <is>
          <t>US</t>
        </is>
      </c>
      <c r="F123" s="137" t="inlineStr">
        <is>
          <t>Buy</t>
        </is>
      </c>
      <c r="G123" s="156" t="n">
        <v>0.05050096961861668</v>
      </c>
      <c r="H123" s="157" t="n">
        <v>396.032</v>
      </c>
      <c r="I123" s="137" t="inlineStr">
        <is>
          <t>USD</t>
        </is>
      </c>
      <c r="J123" s="155">
        <f>IFERROR(LOOKUP(2,1/(tblFX[Date]&lt;=[@Date]),tblFX[Rate]),XLOOKUP("CURRENT_FX_USDTHB",tblSettings[Key],tblSettings[Value]))</f>
        <v/>
      </c>
      <c r="K123" s="128">
        <f>G123*H123*J123</f>
        <v/>
      </c>
      <c r="L123" s="146" t="n">
        <v>0</v>
      </c>
      <c r="M123" s="146" t="n">
        <v>20</v>
      </c>
      <c r="N123" s="146" t="inlineStr"/>
      <c r="O123" s="142" t="inlineStr">
        <is>
          <t>USA STOCK HIS 2</t>
        </is>
      </c>
      <c r="P123" s="142" t="inlineStr">
        <is>
          <t>3 มีนาคม 2569 (ช่วงเย็น) — ซื้อวันที่ 3 มี.ค. 69 เวลา 22:53-22:57 น.</t>
        </is>
      </c>
    </row>
    <row r="124">
      <c r="B124" s="153" t="inlineStr">
        <is>
          <t>ITX-00119</t>
        </is>
      </c>
      <c r="C124" s="144" t="n">
        <v>46084</v>
      </c>
      <c r="D124" s="158" t="inlineStr">
        <is>
          <t>NVDA</t>
        </is>
      </c>
      <c r="E124" s="137" t="inlineStr">
        <is>
          <t>US</t>
        </is>
      </c>
      <c r="F124" s="137" t="inlineStr">
        <is>
          <t>Buy</t>
        </is>
      </c>
      <c r="G124" s="156" t="n">
        <v>0.05637359911606196</v>
      </c>
      <c r="H124" s="157" t="n">
        <v>177.388</v>
      </c>
      <c r="I124" s="137" t="inlineStr">
        <is>
          <t>USD</t>
        </is>
      </c>
      <c r="J124" s="155">
        <f>IFERROR(LOOKUP(2,1/(tblFX[Date]&lt;=[@Date]),tblFX[Rate]),XLOOKUP("CURRENT_FX_USDTHB",tblSettings[Key],tblSettings[Value]))</f>
        <v/>
      </c>
      <c r="K124" s="128">
        <f>G124*H124*J124</f>
        <v/>
      </c>
      <c r="L124" s="146" t="n">
        <v>0</v>
      </c>
      <c r="M124" s="146" t="n">
        <v>10</v>
      </c>
      <c r="N124" s="146" t="inlineStr"/>
      <c r="O124" s="142" t="inlineStr">
        <is>
          <t>USA STOCK HIS 2</t>
        </is>
      </c>
      <c r="P124" s="142" t="inlineStr">
        <is>
          <t>3 มีนาคม 2569 (ช่วงเย็น) — ซื้อวันที่ 3 มี.ค. 69 เวลา 22:53-22:57 น.</t>
        </is>
      </c>
    </row>
    <row r="125">
      <c r="B125" s="153" t="inlineStr">
        <is>
          <t>ITX-00120</t>
        </is>
      </c>
      <c r="C125" s="144" t="n">
        <v>46084</v>
      </c>
      <c r="D125" s="158" t="inlineStr">
        <is>
          <t>PRCT</t>
        </is>
      </c>
      <c r="E125" s="137" t="inlineStr">
        <is>
          <t>US</t>
        </is>
      </c>
      <c r="F125" s="137" t="inlineStr">
        <is>
          <t>Buy</t>
        </is>
      </c>
      <c r="G125" s="156" t="n">
        <v>0.1281722635221738</v>
      </c>
      <c r="H125" s="157" t="n">
        <v>23.406</v>
      </c>
      <c r="I125" s="137" t="inlineStr">
        <is>
          <t>USD</t>
        </is>
      </c>
      <c r="J125" s="155">
        <f>IFERROR(LOOKUP(2,1/(tblFX[Date]&lt;=[@Date]),tblFX[Rate]),XLOOKUP("CURRENT_FX_USDTHB",tblSettings[Key],tblSettings[Value]))</f>
        <v/>
      </c>
      <c r="K125" s="128">
        <f>G125*H125*J125</f>
        <v/>
      </c>
      <c r="L125" s="146" t="n">
        <v>0</v>
      </c>
      <c r="M125" s="146" t="n">
        <v>3</v>
      </c>
      <c r="N125" s="146" t="inlineStr"/>
      <c r="O125" s="142" t="inlineStr">
        <is>
          <t>USA STOCK HIS 2</t>
        </is>
      </c>
      <c r="P125" s="142" t="inlineStr">
        <is>
          <t>3 มีนาคม 2569 (ช่วงเที่ยงคืน) — ซื้อวันที่ 3 มี.ค. 69 เวลา 00:29-00:35 น.</t>
        </is>
      </c>
    </row>
    <row r="126">
      <c r="B126" s="153" t="inlineStr">
        <is>
          <t>ITX-00121</t>
        </is>
      </c>
      <c r="C126" s="144" t="n">
        <v>46084</v>
      </c>
      <c r="D126" s="158" t="inlineStr">
        <is>
          <t>SCHD</t>
        </is>
      </c>
      <c r="E126" s="137" t="inlineStr">
        <is>
          <t>US</t>
        </is>
      </c>
      <c r="F126" s="137" t="inlineStr">
        <is>
          <t>Sell</t>
        </is>
      </c>
      <c r="G126" s="156" t="n">
        <v>4</v>
      </c>
      <c r="H126" s="157" t="n">
        <v>31.4</v>
      </c>
      <c r="I126" s="137" t="inlineStr">
        <is>
          <t>USD</t>
        </is>
      </c>
      <c r="J126" s="155">
        <f>IFERROR(LOOKUP(2,1/(tblFX[Date]&lt;=[@Date]),tblFX[Rate]),XLOOKUP("CURRENT_FX_USDTHB",tblSettings[Key],tblSettings[Value]))</f>
        <v/>
      </c>
      <c r="K126" s="128">
        <f>G126*H126*J126</f>
        <v/>
      </c>
      <c r="L126" s="146" t="n">
        <v>0</v>
      </c>
      <c r="M126" s="146" t="n">
        <v>110.4976</v>
      </c>
      <c r="N126" s="146" t="n">
        <v>15.1025</v>
      </c>
      <c r="O126" s="142" t="inlineStr">
        <is>
          <t>USA STOCK HIS 2</t>
        </is>
      </c>
      <c r="P126" s="142" t="inlineStr">
        <is>
          <t>Average Cost Method</t>
        </is>
      </c>
    </row>
    <row r="127">
      <c r="B127" s="153" t="inlineStr">
        <is>
          <t>ITX-00122</t>
        </is>
      </c>
      <c r="C127" s="144" t="n">
        <v>46084</v>
      </c>
      <c r="D127" s="158" t="inlineStr">
        <is>
          <t>UNH</t>
        </is>
      </c>
      <c r="E127" s="137" t="inlineStr">
        <is>
          <t>US</t>
        </is>
      </c>
      <c r="F127" s="137" t="inlineStr">
        <is>
          <t>Buy</t>
        </is>
      </c>
      <c r="G127" s="156" t="n">
        <v>0.02756871502219281</v>
      </c>
      <c r="H127" s="157" t="n">
        <v>290.184</v>
      </c>
      <c r="I127" s="137" t="inlineStr">
        <is>
          <t>USD</t>
        </is>
      </c>
      <c r="J127" s="155">
        <f>IFERROR(LOOKUP(2,1/(tblFX[Date]&lt;=[@Date]),tblFX[Rate]),XLOOKUP("CURRENT_FX_USDTHB",tblSettings[Key],tblSettings[Value]))</f>
        <v/>
      </c>
      <c r="K127" s="128">
        <f>G127*H127*J127</f>
        <v/>
      </c>
      <c r="L127" s="146" t="n">
        <v>0</v>
      </c>
      <c r="M127" s="146" t="n">
        <v>8</v>
      </c>
      <c r="N127" s="146" t="inlineStr"/>
      <c r="O127" s="142" t="inlineStr">
        <is>
          <t>USA STOCK HIS 2</t>
        </is>
      </c>
      <c r="P127" s="142" t="inlineStr">
        <is>
          <t>3 มีนาคม 2569 (ช่วงเที่ยงคืน) — ซื้อวันที่ 3 มี.ค. 69 เวลา 00:29-00:35 น.</t>
        </is>
      </c>
    </row>
    <row r="128">
      <c r="B128" s="153" t="inlineStr">
        <is>
          <t>ITX-00123</t>
        </is>
      </c>
      <c r="C128" s="144" t="n">
        <v>46084</v>
      </c>
      <c r="D128" s="158" t="inlineStr">
        <is>
          <t>V</t>
        </is>
      </c>
      <c r="E128" s="137" t="inlineStr">
        <is>
          <t>US</t>
        </is>
      </c>
      <c r="F128" s="137" t="inlineStr">
        <is>
          <t>Buy</t>
        </is>
      </c>
      <c r="G128" s="156" t="n">
        <v>0.01879510825982357</v>
      </c>
      <c r="H128" s="157" t="n">
        <v>319.232</v>
      </c>
      <c r="I128" s="137" t="inlineStr">
        <is>
          <t>USD</t>
        </is>
      </c>
      <c r="J128" s="155">
        <f>IFERROR(LOOKUP(2,1/(tblFX[Date]&lt;=[@Date]),tblFX[Rate]),XLOOKUP("CURRENT_FX_USDTHB",tblSettings[Key],tblSettings[Value]))</f>
        <v/>
      </c>
      <c r="K128" s="128">
        <f>G128*H128*J128</f>
        <v/>
      </c>
      <c r="L128" s="146" t="n">
        <v>0</v>
      </c>
      <c r="M128" s="146" t="n">
        <v>6</v>
      </c>
      <c r="N128" s="146" t="inlineStr"/>
      <c r="O128" s="142" t="inlineStr">
        <is>
          <t>USA STOCK HIS 2</t>
        </is>
      </c>
      <c r="P128" s="142" t="inlineStr">
        <is>
          <t>3 มีนาคม 2569 (ช่วงเที่ยงคืน) — ซื้อวันที่ 3 มี.ค. 69 เวลา 00:29-00:35 น.</t>
        </is>
      </c>
    </row>
    <row r="129">
      <c r="B129" s="153" t="inlineStr">
        <is>
          <t>ITX-00124</t>
        </is>
      </c>
      <c r="C129" s="144" t="n">
        <v>46086</v>
      </c>
      <c r="D129" s="158" t="inlineStr">
        <is>
          <t>MTS-GOLD</t>
        </is>
      </c>
      <c r="E129" s="137" t="inlineStr">
        <is>
          <t>Commodity</t>
        </is>
      </c>
      <c r="F129" s="137" t="inlineStr">
        <is>
          <t>Buy</t>
        </is>
      </c>
      <c r="G129" s="156" t="n">
        <v>0.0039</v>
      </c>
      <c r="H129" s="157" t="n">
        <v>5096.97</v>
      </c>
      <c r="I129" s="137" t="inlineStr">
        <is>
          <t>USD</t>
        </is>
      </c>
      <c r="J129" s="155">
        <f>IFERROR(LOOKUP(2,1/(tblFX[Date]&lt;=[@Date]),tblFX[Rate]),XLOOKUP("CURRENT_FX_USDTHB",tblSettings[Key],tblSettings[Value]))</f>
        <v/>
      </c>
      <c r="K129" s="128">
        <f>G129*H129*J129</f>
        <v/>
      </c>
      <c r="L129" s="146" t="n">
        <v>0</v>
      </c>
      <c r="M129" s="146" t="n">
        <v>19.8782</v>
      </c>
      <c r="N129" s="146" t="inlineStr"/>
      <c r="O129" s="142" t="inlineStr">
        <is>
          <t>Dime app IMG_7097-7102</t>
        </is>
      </c>
      <c r="P129" s="142" t="inlineStr"/>
    </row>
    <row r="130">
      <c r="B130" s="153" t="inlineStr">
        <is>
          <t>ITX-00125</t>
        </is>
      </c>
      <c r="C130" s="144" t="n">
        <v>46087</v>
      </c>
      <c r="D130" s="158" t="inlineStr">
        <is>
          <t>AAPL</t>
        </is>
      </c>
      <c r="E130" s="137" t="inlineStr">
        <is>
          <t>US</t>
        </is>
      </c>
      <c r="F130" s="137" t="inlineStr">
        <is>
          <t>Buy</t>
        </is>
      </c>
      <c r="G130" s="156" t="n">
        <v>0.0778476676838762</v>
      </c>
      <c r="H130" s="157" t="n">
        <v>256.912</v>
      </c>
      <c r="I130" s="137" t="inlineStr">
        <is>
          <t>USD</t>
        </is>
      </c>
      <c r="J130" s="155">
        <f>IFERROR(LOOKUP(2,1/(tblFX[Date]&lt;=[@Date]),tblFX[Rate]),XLOOKUP("CURRENT_FX_USDTHB",tblSettings[Key],tblSettings[Value]))</f>
        <v/>
      </c>
      <c r="K130" s="128">
        <f>G130*H130*J130</f>
        <v/>
      </c>
      <c r="L130" s="146" t="n">
        <v>0</v>
      </c>
      <c r="M130" s="146" t="n">
        <v>20</v>
      </c>
      <c r="N130" s="146" t="inlineStr"/>
      <c r="O130" s="142" t="inlineStr">
        <is>
          <t>USA STOCK HIS 2</t>
        </is>
      </c>
      <c r="P130" s="142" t="inlineStr">
        <is>
          <t>6 มีนาคม 2569 — ซื้อวันที่ 6 มี.ค. 69 เวลา 22:33-23:05 น.</t>
        </is>
      </c>
    </row>
    <row r="131">
      <c r="B131" s="153" t="inlineStr">
        <is>
          <t>ITX-00126</t>
        </is>
      </c>
      <c r="C131" s="144" t="n">
        <v>46087</v>
      </c>
      <c r="D131" s="158" t="inlineStr">
        <is>
          <t>AMPX</t>
        </is>
      </c>
      <c r="E131" s="137" t="inlineStr">
        <is>
          <t>US</t>
        </is>
      </c>
      <c r="F131" s="137" t="inlineStr">
        <is>
          <t>Sell</t>
        </is>
      </c>
      <c r="G131" s="156" t="n">
        <v>1</v>
      </c>
      <c r="H131" s="157" t="n">
        <v>16.2368</v>
      </c>
      <c r="I131" s="137" t="inlineStr">
        <is>
          <t>USD</t>
        </is>
      </c>
      <c r="J131" s="155">
        <f>IFERROR(LOOKUP(2,1/(tblFX[Date]&lt;=[@Date]),tblFX[Rate]),XLOOKUP("CURRENT_FX_USDTHB",tblSettings[Key],tblSettings[Value]))</f>
        <v/>
      </c>
      <c r="K131" s="128">
        <f>G131*H131*J131</f>
        <v/>
      </c>
      <c r="L131" s="146" t="n">
        <v>0</v>
      </c>
      <c r="M131" s="146" t="n">
        <v>7.58484</v>
      </c>
      <c r="N131" s="146" t="n">
        <v>8.651960000000001</v>
      </c>
      <c r="O131" s="142" t="inlineStr">
        <is>
          <t>USA STOCK HIS 2</t>
        </is>
      </c>
      <c r="P131" s="142" t="inlineStr">
        <is>
          <t>Average Cost Method</t>
        </is>
      </c>
    </row>
    <row r="132">
      <c r="B132" s="153" t="inlineStr">
        <is>
          <t>ITX-00127</t>
        </is>
      </c>
      <c r="C132" s="144" t="n">
        <v>46087</v>
      </c>
      <c r="D132" s="158" t="inlineStr">
        <is>
          <t>PRCT</t>
        </is>
      </c>
      <c r="E132" s="137" t="inlineStr">
        <is>
          <t>US</t>
        </is>
      </c>
      <c r="F132" s="137" t="inlineStr">
        <is>
          <t>Buy</t>
        </is>
      </c>
      <c r="G132" s="156" t="n">
        <v>0.4308487720809995</v>
      </c>
      <c r="H132" s="157" t="n">
        <v>23.21</v>
      </c>
      <c r="I132" s="137" t="inlineStr">
        <is>
          <t>USD</t>
        </is>
      </c>
      <c r="J132" s="155">
        <f>IFERROR(LOOKUP(2,1/(tblFX[Date]&lt;=[@Date]),tblFX[Rate]),XLOOKUP("CURRENT_FX_USDTHB",tblSettings[Key],tblSettings[Value]))</f>
        <v/>
      </c>
      <c r="K132" s="128">
        <f>G132*H132*J132</f>
        <v/>
      </c>
      <c r="L132" s="146" t="n">
        <v>0</v>
      </c>
      <c r="M132" s="146" t="n">
        <v>10</v>
      </c>
      <c r="N132" s="146" t="inlineStr"/>
      <c r="O132" s="142" t="inlineStr">
        <is>
          <t>USA STOCK HIS 2</t>
        </is>
      </c>
      <c r="P132" s="142" t="inlineStr">
        <is>
          <t>6 มีนาคม 2569 — ซื้อวันที่ 6 มี.ค. 69 เวลา 22:33-23:05 น.</t>
        </is>
      </c>
    </row>
    <row r="133">
      <c r="B133" s="153" t="inlineStr">
        <is>
          <t>ITX-00128</t>
        </is>
      </c>
      <c r="C133" s="144" t="n">
        <v>46097</v>
      </c>
      <c r="D133" s="158" t="inlineStr">
        <is>
          <t>MTS-GOLD</t>
        </is>
      </c>
      <c r="E133" s="137" t="inlineStr">
        <is>
          <t>Commodity</t>
        </is>
      </c>
      <c r="F133" s="137" t="inlineStr">
        <is>
          <t>Sell</t>
        </is>
      </c>
      <c r="G133" s="156" t="n">
        <v>0.0283</v>
      </c>
      <c r="H133" s="157" t="n">
        <v>5005.73</v>
      </c>
      <c r="I133" s="137" t="inlineStr">
        <is>
          <t>USD</t>
        </is>
      </c>
      <c r="J133" s="155">
        <f>IFERROR(LOOKUP(2,1/(tblFX[Date]&lt;=[@Date]),tblFX[Rate]),XLOOKUP("CURRENT_FX_USDTHB",tblSettings[Key],tblSettings[Value]))</f>
        <v/>
      </c>
      <c r="K133" s="128">
        <f>G133*H133*J133</f>
        <v/>
      </c>
      <c r="L133" s="146" t="n">
        <v>0</v>
      </c>
      <c r="M133" s="146" t="n">
        <v>145.6727</v>
      </c>
      <c r="N133" s="146" t="n">
        <v>-4.0106</v>
      </c>
      <c r="O133" s="142" t="inlineStr">
        <is>
          <t>Dime app IMG_7097-7102</t>
        </is>
      </c>
      <c r="P133" s="173" t="inlineStr">
        <is>
          <t>Recovered from Dime screenshot - MISSING in legacy GOLD HIS</t>
        </is>
      </c>
    </row>
    <row r="134">
      <c r="B134" s="153" t="inlineStr">
        <is>
          <t>ITX-00129</t>
        </is>
      </c>
      <c r="C134" s="144" t="n">
        <v>46101</v>
      </c>
      <c r="D134" s="158" t="inlineStr">
        <is>
          <t>MTS-GOLD</t>
        </is>
      </c>
      <c r="E134" s="137" t="inlineStr">
        <is>
          <t>Commodity</t>
        </is>
      </c>
      <c r="F134" s="137" t="inlineStr">
        <is>
          <t>Buy</t>
        </is>
      </c>
      <c r="G134" s="156" t="n">
        <v>0.0064</v>
      </c>
      <c r="H134" s="157" t="n">
        <v>4675.32</v>
      </c>
      <c r="I134" s="137" t="inlineStr">
        <is>
          <t>USD</t>
        </is>
      </c>
      <c r="J134" s="155">
        <f>IFERROR(LOOKUP(2,1/(tblFX[Date]&lt;=[@Date]),tblFX[Rate]),XLOOKUP("CURRENT_FX_USDTHB",tblSettings[Key],tblSettings[Value]))</f>
        <v/>
      </c>
      <c r="K134" s="128">
        <f>G134*H134*J134</f>
        <v/>
      </c>
      <c r="L134" s="146" t="n">
        <v>0</v>
      </c>
      <c r="M134" s="146" t="n">
        <v>29.922</v>
      </c>
      <c r="N134" s="146" t="inlineStr"/>
      <c r="O134" s="142" t="inlineStr">
        <is>
          <t>Dime app IMG_7097-7102</t>
        </is>
      </c>
      <c r="P134" s="173" t="inlineStr">
        <is>
          <t>Recovered from Dime screenshot - MISSING in legacy GOLD HIS</t>
        </is>
      </c>
    </row>
    <row r="135">
      <c r="B135" s="153" t="inlineStr">
        <is>
          <t>ITX-00130</t>
        </is>
      </c>
      <c r="C135" s="144" t="n">
        <v>46111</v>
      </c>
      <c r="D135" s="158" t="inlineStr">
        <is>
          <t>AAPL</t>
        </is>
      </c>
      <c r="E135" s="137" t="inlineStr">
        <is>
          <t>US</t>
        </is>
      </c>
      <c r="F135" s="137" t="inlineStr">
        <is>
          <t>Buy</t>
        </is>
      </c>
      <c r="G135" s="156" t="n">
        <v>0.009232307431805904</v>
      </c>
      <c r="H135" s="157" t="n">
        <v>248.042</v>
      </c>
      <c r="I135" s="137" t="inlineStr">
        <is>
          <t>USD</t>
        </is>
      </c>
      <c r="J135" s="155">
        <f>IFERROR(LOOKUP(2,1/(tblFX[Date]&lt;=[@Date]),tblFX[Rate]),XLOOKUP("CURRENT_FX_USDTHB",tblSettings[Key],tblSettings[Value]))</f>
        <v/>
      </c>
      <c r="K135" s="128">
        <f>G135*H135*J135</f>
        <v/>
      </c>
      <c r="L135" s="146" t="n">
        <v>0</v>
      </c>
      <c r="M135" s="146" t="n">
        <v>2.29</v>
      </c>
      <c r="N135" s="146" t="inlineStr"/>
      <c r="O135" s="142" t="inlineStr">
        <is>
          <t>USA STOCK HIS 2</t>
        </is>
      </c>
      <c r="P135" s="142" t="inlineStr">
        <is>
          <t>มีนาคม 2569 — ซื้อวันที่ 30 มี.ค. 69 เวลา 21:04-21:12 น. (ย้อนหลังจาก Google Drive backup)</t>
        </is>
      </c>
    </row>
    <row r="136">
      <c r="B136" s="153" t="inlineStr">
        <is>
          <t>ITX-00131</t>
        </is>
      </c>
      <c r="C136" s="144" t="n">
        <v>46111</v>
      </c>
      <c r="D136" s="158" t="inlineStr">
        <is>
          <t>AMPX</t>
        </is>
      </c>
      <c r="E136" s="137" t="inlineStr">
        <is>
          <t>US</t>
        </is>
      </c>
      <c r="F136" s="137" t="inlineStr">
        <is>
          <t>Buy</t>
        </is>
      </c>
      <c r="G136" s="156" t="n">
        <v>0.3212541763042919</v>
      </c>
      <c r="H136" s="157" t="n">
        <v>15.564</v>
      </c>
      <c r="I136" s="137" t="inlineStr">
        <is>
          <t>USD</t>
        </is>
      </c>
      <c r="J136" s="155">
        <f>IFERROR(LOOKUP(2,1/(tblFX[Date]&lt;=[@Date]),tblFX[Rate]),XLOOKUP("CURRENT_FX_USDTHB",tblSettings[Key],tblSettings[Value]))</f>
        <v/>
      </c>
      <c r="K136" s="128">
        <f>G136*H136*J136</f>
        <v/>
      </c>
      <c r="L136" s="146" t="n">
        <v>0</v>
      </c>
      <c r="M136" s="146" t="n">
        <v>5</v>
      </c>
      <c r="N136" s="146" t="inlineStr"/>
      <c r="O136" s="142" t="inlineStr">
        <is>
          <t>USA STOCK HIS 2</t>
        </is>
      </c>
      <c r="P136" s="142" t="inlineStr">
        <is>
          <t>มีนาคม 2569 — ซื้อวันที่ 30 มี.ค. 69 เวลา 21:04-21:12 น. (ย้อนหลังจาก Google Drive backup)</t>
        </is>
      </c>
    </row>
    <row r="137">
      <c r="B137" s="153" t="inlineStr">
        <is>
          <t>ITX-00132</t>
        </is>
      </c>
      <c r="C137" s="144" t="n">
        <v>46111</v>
      </c>
      <c r="D137" s="158" t="inlineStr">
        <is>
          <t>AMZN</t>
        </is>
      </c>
      <c r="E137" s="137" t="inlineStr">
        <is>
          <t>US</t>
        </is>
      </c>
      <c r="F137" s="137" t="inlineStr">
        <is>
          <t>Buy</t>
        </is>
      </c>
      <c r="G137" s="156" t="n">
        <v>0.01897024353422589</v>
      </c>
      <c r="H137" s="157" t="n">
        <v>201.368</v>
      </c>
      <c r="I137" s="137" t="inlineStr">
        <is>
          <t>USD</t>
        </is>
      </c>
      <c r="J137" s="155">
        <f>IFERROR(LOOKUP(2,1/(tblFX[Date]&lt;=[@Date]),tblFX[Rate]),XLOOKUP("CURRENT_FX_USDTHB",tblSettings[Key],tblSettings[Value]))</f>
        <v/>
      </c>
      <c r="K137" s="128">
        <f>G137*H137*J137</f>
        <v/>
      </c>
      <c r="L137" s="146" t="n">
        <v>0</v>
      </c>
      <c r="M137" s="146" t="n">
        <v>3.82</v>
      </c>
      <c r="N137" s="146" t="inlineStr"/>
      <c r="O137" s="142" t="inlineStr">
        <is>
          <t>USA STOCK HIS 2</t>
        </is>
      </c>
      <c r="P137" s="142" t="inlineStr">
        <is>
          <t>มีนาคม 2569 — ซื้อวันที่ 30 มี.ค. 69 เวลา 21:04-21:12 น. (ย้อนหลังจาก Google Drive backup)</t>
        </is>
      </c>
    </row>
    <row r="138">
      <c r="B138" s="153" t="inlineStr">
        <is>
          <t>ITX-00133</t>
        </is>
      </c>
      <c r="C138" s="144" t="n">
        <v>46111</v>
      </c>
      <c r="D138" s="158" t="inlineStr">
        <is>
          <t>BEPC</t>
        </is>
      </c>
      <c r="E138" s="137" t="inlineStr">
        <is>
          <t>US</t>
        </is>
      </c>
      <c r="F138" s="137" t="inlineStr">
        <is>
          <t>Buy</t>
        </is>
      </c>
      <c r="G138" s="156" t="n">
        <v>0.05042355788624445</v>
      </c>
      <c r="H138" s="157" t="n">
        <v>39.664</v>
      </c>
      <c r="I138" s="137" t="inlineStr">
        <is>
          <t>USD</t>
        </is>
      </c>
      <c r="J138" s="155">
        <f>IFERROR(LOOKUP(2,1/(tblFX[Date]&lt;=[@Date]),tblFX[Rate]),XLOOKUP("CURRENT_FX_USDTHB",tblSettings[Key],tblSettings[Value]))</f>
        <v/>
      </c>
      <c r="K138" s="128">
        <f>G138*H138*J138</f>
        <v/>
      </c>
      <c r="L138" s="146" t="n">
        <v>0</v>
      </c>
      <c r="M138" s="146" t="n">
        <v>2</v>
      </c>
      <c r="N138" s="146" t="inlineStr"/>
      <c r="O138" s="142" t="inlineStr">
        <is>
          <t>USA STOCK HIS 2</t>
        </is>
      </c>
      <c r="P138" s="142" t="inlineStr">
        <is>
          <t>มีนาคม 2569 — ซื้อวันที่ 30 มี.ค. 69 เวลา 21:04-21:12 น. (ย้อนหลังจาก Google Drive backup)</t>
        </is>
      </c>
    </row>
    <row r="139">
      <c r="B139" s="153" t="inlineStr">
        <is>
          <t>ITX-00134</t>
        </is>
      </c>
      <c r="C139" s="144" t="n">
        <v>46111</v>
      </c>
      <c r="D139" s="158" t="inlineStr">
        <is>
          <t>GOOGL</t>
        </is>
      </c>
      <c r="E139" s="137" t="inlineStr">
        <is>
          <t>US</t>
        </is>
      </c>
      <c r="F139" s="137" t="inlineStr">
        <is>
          <t>Buy</t>
        </is>
      </c>
      <c r="G139" s="156" t="n">
        <v>0.008360898741849036</v>
      </c>
      <c r="H139" s="157" t="n">
        <v>273.894</v>
      </c>
      <c r="I139" s="137" t="inlineStr">
        <is>
          <t>USD</t>
        </is>
      </c>
      <c r="J139" s="155">
        <f>IFERROR(LOOKUP(2,1/(tblFX[Date]&lt;=[@Date]),tblFX[Rate]),XLOOKUP("CURRENT_FX_USDTHB",tblSettings[Key],tblSettings[Value]))</f>
        <v/>
      </c>
      <c r="K139" s="128">
        <f>G139*H139*J139</f>
        <v/>
      </c>
      <c r="L139" s="146" t="n">
        <v>0</v>
      </c>
      <c r="M139" s="146" t="n">
        <v>2.29</v>
      </c>
      <c r="N139" s="146" t="inlineStr"/>
      <c r="O139" s="142" t="inlineStr">
        <is>
          <t>USA STOCK HIS 2</t>
        </is>
      </c>
      <c r="P139" s="142" t="inlineStr">
        <is>
          <t>มีนาคม 2569 — ซื้อวันที่ 30 มี.ค. 69 เวลา 21:04-21:12 น. (ย้อนหลังจาก Google Drive backup)</t>
        </is>
      </c>
    </row>
    <row r="140">
      <c r="B140" s="153" t="inlineStr">
        <is>
          <t>ITX-00135</t>
        </is>
      </c>
      <c r="C140" s="144" t="n">
        <v>46111</v>
      </c>
      <c r="D140" s="158" t="inlineStr">
        <is>
          <t>LLY</t>
        </is>
      </c>
      <c r="E140" s="137" t="inlineStr">
        <is>
          <t>US</t>
        </is>
      </c>
      <c r="F140" s="137" t="inlineStr">
        <is>
          <t>Buy</t>
        </is>
      </c>
      <c r="G140" s="156" t="n">
        <v>0.002571490813377142</v>
      </c>
      <c r="H140" s="157" t="n">
        <v>890.534</v>
      </c>
      <c r="I140" s="137" t="inlineStr">
        <is>
          <t>USD</t>
        </is>
      </c>
      <c r="J140" s="155">
        <f>IFERROR(LOOKUP(2,1/(tblFX[Date]&lt;=[@Date]),tblFX[Rate]),XLOOKUP("CURRENT_FX_USDTHB",tblSettings[Key],tblSettings[Value]))</f>
        <v/>
      </c>
      <c r="K140" s="128">
        <f>G140*H140*J140</f>
        <v/>
      </c>
      <c r="L140" s="146" t="n">
        <v>0</v>
      </c>
      <c r="M140" s="146" t="n">
        <v>2.29</v>
      </c>
      <c r="N140" s="146" t="inlineStr"/>
      <c r="O140" s="142" t="inlineStr">
        <is>
          <t>USA STOCK HIS 2</t>
        </is>
      </c>
      <c r="P140" s="142" t="inlineStr">
        <is>
          <t>มีนาคม 2569 — ซื้อวันที่ 30 มี.ค. 69 เวลา 21:04-21:12 น. (ย้อนหลังจาก Google Drive backup)</t>
        </is>
      </c>
    </row>
    <row r="141">
      <c r="B141" s="153" t="inlineStr">
        <is>
          <t>ITX-00136</t>
        </is>
      </c>
      <c r="C141" s="144" t="n">
        <v>46111</v>
      </c>
      <c r="D141" s="158" t="inlineStr">
        <is>
          <t>META</t>
        </is>
      </c>
      <c r="E141" s="137" t="inlineStr">
        <is>
          <t>US</t>
        </is>
      </c>
      <c r="F141" s="137" t="inlineStr">
        <is>
          <t>Buy</t>
        </is>
      </c>
      <c r="G141" s="156" t="n">
        <v>0.02166557396815349</v>
      </c>
      <c r="H141" s="157" t="n">
        <v>530.796</v>
      </c>
      <c r="I141" s="137" t="inlineStr">
        <is>
          <t>USD</t>
        </is>
      </c>
      <c r="J141" s="155">
        <f>IFERROR(LOOKUP(2,1/(tblFX[Date]&lt;=[@Date]),tblFX[Rate]),XLOOKUP("CURRENT_FX_USDTHB",tblSettings[Key],tblSettings[Value]))</f>
        <v/>
      </c>
      <c r="K141" s="128">
        <f>G141*H141*J141</f>
        <v/>
      </c>
      <c r="L141" s="146" t="n">
        <v>0</v>
      </c>
      <c r="M141" s="146" t="n">
        <v>11.5</v>
      </c>
      <c r="N141" s="146" t="inlineStr"/>
      <c r="O141" s="142" t="inlineStr">
        <is>
          <t>USA STOCK HIS 2</t>
        </is>
      </c>
      <c r="P141" s="142" t="inlineStr">
        <is>
          <t>มีนาคม 2569 — ซื้อวันที่ 30 มี.ค. 69 เวลา 21:04-21:12 น. (ย้อนหลังจาก Google Drive backup)</t>
        </is>
      </c>
    </row>
    <row r="142">
      <c r="B142" s="153" t="inlineStr">
        <is>
          <t>ITX-00137</t>
        </is>
      </c>
      <c r="C142" s="144" t="n">
        <v>46111</v>
      </c>
      <c r="D142" s="158" t="inlineStr">
        <is>
          <t>MSFT</t>
        </is>
      </c>
      <c r="E142" s="137" t="inlineStr">
        <is>
          <t>US</t>
        </is>
      </c>
      <c r="F142" s="137" t="inlineStr">
        <is>
          <t>Buy</t>
        </is>
      </c>
      <c r="G142" s="156" t="n">
        <v>0.03184854739552123</v>
      </c>
      <c r="H142" s="157" t="n">
        <v>360.456</v>
      </c>
      <c r="I142" s="137" t="inlineStr">
        <is>
          <t>USD</t>
        </is>
      </c>
      <c r="J142" s="155">
        <f>IFERROR(LOOKUP(2,1/(tblFX[Date]&lt;=[@Date]),tblFX[Rate]),XLOOKUP("CURRENT_FX_USDTHB",tblSettings[Key],tblSettings[Value]))</f>
        <v/>
      </c>
      <c r="K142" s="128">
        <f>G142*H142*J142</f>
        <v/>
      </c>
      <c r="L142" s="146" t="n">
        <v>0</v>
      </c>
      <c r="M142" s="146" t="n">
        <v>11.48</v>
      </c>
      <c r="N142" s="146" t="inlineStr"/>
      <c r="O142" s="142" t="inlineStr">
        <is>
          <t>USA STOCK HIS 2</t>
        </is>
      </c>
      <c r="P142" s="142" t="inlineStr">
        <is>
          <t>มีนาคม 2569 — ซื้อวันที่ 30 มี.ค. 69 เวลา 21:04-21:12 น. (ย้อนหลังจาก Google Drive backup)</t>
        </is>
      </c>
    </row>
    <row r="143">
      <c r="B143" s="153" t="inlineStr">
        <is>
          <t>ITX-00138</t>
        </is>
      </c>
      <c r="C143" s="144" t="n">
        <v>46111</v>
      </c>
      <c r="D143" s="158" t="inlineStr">
        <is>
          <t>NVDA</t>
        </is>
      </c>
      <c r="E143" s="137" t="inlineStr">
        <is>
          <t>US</t>
        </is>
      </c>
      <c r="F143" s="137" t="inlineStr">
        <is>
          <t>Buy</t>
        </is>
      </c>
      <c r="G143" s="156" t="n">
        <v>0.01374978985037347</v>
      </c>
      <c r="H143" s="157" t="n">
        <v>166.548</v>
      </c>
      <c r="I143" s="137" t="inlineStr">
        <is>
          <t>USD</t>
        </is>
      </c>
      <c r="J143" s="155">
        <f>IFERROR(LOOKUP(2,1/(tblFX[Date]&lt;=[@Date]),tblFX[Rate]),XLOOKUP("CURRENT_FX_USDTHB",tblSettings[Key],tblSettings[Value]))</f>
        <v/>
      </c>
      <c r="K143" s="128">
        <f>G143*H143*J143</f>
        <v/>
      </c>
      <c r="L143" s="146" t="n">
        <v>0</v>
      </c>
      <c r="M143" s="146" t="n">
        <v>2.29</v>
      </c>
      <c r="N143" s="146" t="inlineStr"/>
      <c r="O143" s="142" t="inlineStr">
        <is>
          <t>USA STOCK HIS 2</t>
        </is>
      </c>
      <c r="P143" s="142" t="inlineStr">
        <is>
          <t>มีนาคม 2569 — ซื้อวันที่ 30 มี.ค. 69 เวลา 21:04-21:12 น. (ย้อนหลังจาก Google Drive backup)</t>
        </is>
      </c>
    </row>
    <row r="144">
      <c r="B144" s="153" t="inlineStr">
        <is>
          <t>ITX-00139</t>
        </is>
      </c>
      <c r="C144" s="144" t="n">
        <v>46111</v>
      </c>
      <c r="D144" s="158" t="inlineStr">
        <is>
          <t>PRCT</t>
        </is>
      </c>
      <c r="E144" s="137" t="inlineStr">
        <is>
          <t>US</t>
        </is>
      </c>
      <c r="F144" s="137" t="inlineStr">
        <is>
          <t>Buy</t>
        </is>
      </c>
      <c r="G144" s="156" t="n">
        <v>0.1501218266132201</v>
      </c>
      <c r="H144" s="157" t="n">
        <v>25.446</v>
      </c>
      <c r="I144" s="137" t="inlineStr">
        <is>
          <t>USD</t>
        </is>
      </c>
      <c r="J144" s="155">
        <f>IFERROR(LOOKUP(2,1/(tblFX[Date]&lt;=[@Date]),tblFX[Rate]),XLOOKUP("CURRENT_FX_USDTHB",tblSettings[Key],tblSettings[Value]))</f>
        <v/>
      </c>
      <c r="K144" s="128">
        <f>G144*H144*J144</f>
        <v/>
      </c>
      <c r="L144" s="146" t="n">
        <v>0</v>
      </c>
      <c r="M144" s="146" t="n">
        <v>3.82</v>
      </c>
      <c r="N144" s="146" t="inlineStr"/>
      <c r="O144" s="142" t="inlineStr">
        <is>
          <t>USA STOCK HIS 2</t>
        </is>
      </c>
      <c r="P144" s="142" t="inlineStr">
        <is>
          <t>มีนาคม 2569 — ซื้อวันที่ 30 มี.ค. 69 เวลา 21:04-21:12 น. (ย้อนหลังจาก Google Drive backup)</t>
        </is>
      </c>
    </row>
    <row r="145">
      <c r="B145" s="153" t="inlineStr">
        <is>
          <t>ITX-00140</t>
        </is>
      </c>
      <c r="C145" s="144" t="n">
        <v>46111</v>
      </c>
      <c r="D145" s="158" t="inlineStr">
        <is>
          <t>SCHD</t>
        </is>
      </c>
      <c r="E145" s="137" t="inlineStr">
        <is>
          <t>US</t>
        </is>
      </c>
      <c r="F145" s="137" t="inlineStr">
        <is>
          <t>Buy</t>
        </is>
      </c>
      <c r="G145" s="156" t="n">
        <v>0.0746950225063605</v>
      </c>
      <c r="H145" s="157" t="n">
        <v>30.658</v>
      </c>
      <c r="I145" s="137" t="inlineStr">
        <is>
          <t>USD</t>
        </is>
      </c>
      <c r="J145" s="155">
        <f>IFERROR(LOOKUP(2,1/(tblFX[Date]&lt;=[@Date]),tblFX[Rate]),XLOOKUP("CURRENT_FX_USDTHB",tblSettings[Key],tblSettings[Value]))</f>
        <v/>
      </c>
      <c r="K145" s="128">
        <f>G145*H145*J145</f>
        <v/>
      </c>
      <c r="L145" s="146" t="n">
        <v>0</v>
      </c>
      <c r="M145" s="146" t="n">
        <v>2.29</v>
      </c>
      <c r="N145" s="146" t="inlineStr"/>
      <c r="O145" s="142" t="inlineStr">
        <is>
          <t>USA STOCK HIS 2</t>
        </is>
      </c>
      <c r="P145" s="142" t="inlineStr">
        <is>
          <t>มีนาคม 2569 — ซื้อวันที่ 30 มี.ค. 69 เวลา 21:04-21:12 น. (ย้อนหลังจาก Google Drive backup)</t>
        </is>
      </c>
    </row>
    <row r="146">
      <c r="B146" s="153" t="inlineStr">
        <is>
          <t>ITX-00141</t>
        </is>
      </c>
      <c r="C146" s="144" t="n">
        <v>46111</v>
      </c>
      <c r="D146" s="158" t="inlineStr">
        <is>
          <t>SCHG</t>
        </is>
      </c>
      <c r="E146" s="137" t="inlineStr">
        <is>
          <t>US</t>
        </is>
      </c>
      <c r="F146" s="137" t="inlineStr">
        <is>
          <t>Buy</t>
        </is>
      </c>
      <c r="G146" s="156" t="n">
        <v>0.1353745835991211</v>
      </c>
      <c r="H146" s="157" t="n">
        <v>28.218</v>
      </c>
      <c r="I146" s="137" t="inlineStr">
        <is>
          <t>USD</t>
        </is>
      </c>
      <c r="J146" s="155">
        <f>IFERROR(LOOKUP(2,1/(tblFX[Date]&lt;=[@Date]),tblFX[Rate]),XLOOKUP("CURRENT_FX_USDTHB",tblSettings[Key],tblSettings[Value]))</f>
        <v/>
      </c>
      <c r="K146" s="128">
        <f>G146*H146*J146</f>
        <v/>
      </c>
      <c r="L146" s="146" t="n">
        <v>0</v>
      </c>
      <c r="M146" s="146" t="n">
        <v>3.82</v>
      </c>
      <c r="N146" s="146" t="inlineStr"/>
      <c r="O146" s="142" t="inlineStr">
        <is>
          <t>USA STOCK HIS 2</t>
        </is>
      </c>
      <c r="P146" s="142" t="inlineStr">
        <is>
          <t>มีนาคม 2569 — ซื้อวันที่ 30 มี.ค. 69 เวลา 21:04-21:12 น. (ย้อนหลังจาก Google Drive backup)</t>
        </is>
      </c>
    </row>
    <row r="147">
      <c r="B147" s="153" t="inlineStr">
        <is>
          <t>ITX-00142</t>
        </is>
      </c>
      <c r="C147" s="144" t="n">
        <v>46111</v>
      </c>
      <c r="D147" s="158" t="inlineStr">
        <is>
          <t>V</t>
        </is>
      </c>
      <c r="E147" s="137" t="inlineStr">
        <is>
          <t>US</t>
        </is>
      </c>
      <c r="F147" s="137" t="inlineStr">
        <is>
          <t>Buy</t>
        </is>
      </c>
      <c r="G147" s="156" t="n">
        <v>0.01284085408487065</v>
      </c>
      <c r="H147" s="157" t="n">
        <v>297.488</v>
      </c>
      <c r="I147" s="137" t="inlineStr">
        <is>
          <t>USD</t>
        </is>
      </c>
      <c r="J147" s="155">
        <f>IFERROR(LOOKUP(2,1/(tblFX[Date]&lt;=[@Date]),tblFX[Rate]),XLOOKUP("CURRENT_FX_USDTHB",tblSettings[Key],tblSettings[Value]))</f>
        <v/>
      </c>
      <c r="K147" s="128">
        <f>G147*H147*J147</f>
        <v/>
      </c>
      <c r="L147" s="146" t="n">
        <v>0</v>
      </c>
      <c r="M147" s="146" t="n">
        <v>3.82</v>
      </c>
      <c r="N147" s="146" t="inlineStr"/>
      <c r="O147" s="142" t="inlineStr">
        <is>
          <t>USA STOCK HIS 2</t>
        </is>
      </c>
      <c r="P147" s="142" t="inlineStr">
        <is>
          <t>มีนาคม 2569 — ซื้อวันที่ 30 มี.ค. 69 เวลา 21:04-21:12 น. (ย้อนหลังจาก Google Drive backup)</t>
        </is>
      </c>
    </row>
    <row r="148">
      <c r="B148" s="153" t="inlineStr">
        <is>
          <t>ITX-00143</t>
        </is>
      </c>
      <c r="C148" s="144" t="n">
        <v>46113</v>
      </c>
      <c r="D148" s="158" t="inlineStr">
        <is>
          <t>MTS-GOLD</t>
        </is>
      </c>
      <c r="E148" s="137" t="inlineStr">
        <is>
          <t>Commodity</t>
        </is>
      </c>
      <c r="F148" s="137" t="inlineStr">
        <is>
          <t>Sell</t>
        </is>
      </c>
      <c r="G148" s="156" t="n">
        <v>0.0064</v>
      </c>
      <c r="H148" s="157" t="n">
        <v>4740.01</v>
      </c>
      <c r="I148" s="137" t="inlineStr">
        <is>
          <t>USD</t>
        </is>
      </c>
      <c r="J148" s="155">
        <f>IFERROR(LOOKUP(2,1/(tblFX[Date]&lt;=[@Date]),tblFX[Rate]),XLOOKUP("CURRENT_FX_USDTHB",tblSettings[Key],tblSettings[Value]))</f>
        <v/>
      </c>
      <c r="K148" s="128">
        <f>G148*H148*J148</f>
        <v/>
      </c>
      <c r="L148" s="146" t="n">
        <v>0</v>
      </c>
      <c r="M148" s="146" t="n">
        <v>29.922</v>
      </c>
      <c r="N148" s="146" t="n">
        <v>0.414</v>
      </c>
      <c r="O148" s="142" t="inlineStr">
        <is>
          <t>Dime app IMG_7097-7102</t>
        </is>
      </c>
      <c r="P148" s="142" t="inlineStr"/>
    </row>
    <row r="149">
      <c r="B149" s="153" t="inlineStr">
        <is>
          <t>ITX-00144</t>
        </is>
      </c>
      <c r="C149" s="144" t="n">
        <v>46133</v>
      </c>
      <c r="D149" s="158" t="inlineStr">
        <is>
          <t>UNH</t>
        </is>
      </c>
      <c r="E149" s="137" t="inlineStr">
        <is>
          <t>US</t>
        </is>
      </c>
      <c r="F149" s="137" t="inlineStr">
        <is>
          <t>Sell</t>
        </is>
      </c>
      <c r="G149" s="156" t="n">
        <v>0.795472</v>
      </c>
      <c r="H149" s="157" t="n">
        <v>349.69</v>
      </c>
      <c r="I149" s="137" t="inlineStr">
        <is>
          <t>USD</t>
        </is>
      </c>
      <c r="J149" s="155">
        <f>IFERROR(LOOKUP(2,1/(tblFX[Date]&lt;=[@Date]),tblFX[Rate]),XLOOKUP("CURRENT_FX_USDTHB",tblSettings[Key],tblSettings[Value]))</f>
        <v/>
      </c>
      <c r="K149" s="128">
        <f>G149*H149*J149</f>
        <v/>
      </c>
      <c r="L149" s="146" t="n">
        <v>0</v>
      </c>
      <c r="M149" s="146" t="n">
        <v>261.468464512</v>
      </c>
      <c r="N149" s="146" t="n">
        <v>16.6999</v>
      </c>
      <c r="O149" s="142" t="inlineStr">
        <is>
          <t>USA STOCK HIS 2</t>
        </is>
      </c>
      <c r="P149" s="142" t="inlineStr">
        <is>
          <t>Average Cost Method</t>
        </is>
      </c>
    </row>
    <row r="150">
      <c r="B150" s="153" t="inlineStr">
        <is>
          <t>ITX-00145</t>
        </is>
      </c>
      <c r="C150" s="144" t="n">
        <v>46134</v>
      </c>
      <c r="D150" s="158" t="inlineStr">
        <is>
          <t>PRCT</t>
        </is>
      </c>
      <c r="E150" s="137" t="inlineStr">
        <is>
          <t>US</t>
        </is>
      </c>
      <c r="F150" s="137" t="inlineStr">
        <is>
          <t>Buy</t>
        </is>
      </c>
      <c r="G150" s="156" t="n">
        <v>0.391910957830381</v>
      </c>
      <c r="H150" s="157" t="n">
        <v>25.516</v>
      </c>
      <c r="I150" s="137" t="inlineStr">
        <is>
          <t>USD</t>
        </is>
      </c>
      <c r="J150" s="155">
        <f>IFERROR(LOOKUP(2,1/(tblFX[Date]&lt;=[@Date]),tblFX[Rate]),XLOOKUP("CURRENT_FX_USDTHB",tblSettings[Key],tblSettings[Value]))</f>
        <v/>
      </c>
      <c r="K150" s="128">
        <f>G150*H150*J150</f>
        <v/>
      </c>
      <c r="L150" s="146" t="n">
        <v>0</v>
      </c>
      <c r="M150" s="146" t="n">
        <v>10</v>
      </c>
      <c r="N150" s="146" t="inlineStr"/>
      <c r="O150" s="142" t="inlineStr">
        <is>
          <t>USA STOCK HIS 2</t>
        </is>
      </c>
      <c r="P150" s="142" t="inlineStr">
        <is>
          <t>22 เมษายน 2569 — ซื้อวันที่ 22 เม.ย. 69 เวลา 21:31 น.</t>
        </is>
      </c>
    </row>
    <row r="151">
      <c r="B151" s="153" t="inlineStr">
        <is>
          <t>ITX-00146</t>
        </is>
      </c>
      <c r="C151" s="144" t="n">
        <v>46143</v>
      </c>
      <c r="D151" s="158" t="inlineStr">
        <is>
          <t>META</t>
        </is>
      </c>
      <c r="E151" s="137" t="inlineStr">
        <is>
          <t>US</t>
        </is>
      </c>
      <c r="F151" s="137" t="inlineStr">
        <is>
          <t>Buy</t>
        </is>
      </c>
      <c r="G151" s="156" t="n">
        <v>0.08225009952262041</v>
      </c>
      <c r="H151" s="157" t="n">
        <v>607.902</v>
      </c>
      <c r="I151" s="137" t="inlineStr">
        <is>
          <t>USD</t>
        </is>
      </c>
      <c r="J151" s="155">
        <f>IFERROR(LOOKUP(2,1/(tblFX[Date]&lt;=[@Date]),tblFX[Rate]),XLOOKUP("CURRENT_FX_USDTHB",tblSettings[Key],tblSettings[Value]))</f>
        <v/>
      </c>
      <c r="K151" s="128">
        <f>G151*H151*J151</f>
        <v/>
      </c>
      <c r="L151" s="146" t="n">
        <v>0</v>
      </c>
      <c r="M151" s="146" t="n">
        <v>50</v>
      </c>
      <c r="N151" s="146" t="inlineStr"/>
      <c r="O151" s="142" t="inlineStr">
        <is>
          <t>USA STOCK HIS 2</t>
        </is>
      </c>
      <c r="P151" s="142" t="inlineStr">
        <is>
          <t>1 พฤษภาคม 2569 — ซื้อ META วันที่ 1 พ.ค. 69 เวลา 00:10:20 น. (พบจากภาพ IMG_7046, Google Drive โฟลเดอร์ Louis)</t>
        </is>
      </c>
    </row>
    <row r="152">
      <c r="B152" s="153" t="inlineStr">
        <is>
          <t>ITX-00147</t>
        </is>
      </c>
      <c r="C152" s="144" t="n">
        <v>46143</v>
      </c>
      <c r="D152" s="158" t="inlineStr">
        <is>
          <t>MSFT</t>
        </is>
      </c>
      <c r="E152" s="137" t="inlineStr">
        <is>
          <t>US</t>
        </is>
      </c>
      <c r="F152" s="137" t="inlineStr">
        <is>
          <t>Buy</t>
        </is>
      </c>
      <c r="G152" s="156" t="n">
        <v>0.1251539393453948</v>
      </c>
      <c r="H152" s="157" t="n">
        <v>399.508</v>
      </c>
      <c r="I152" s="137" t="inlineStr">
        <is>
          <t>USD</t>
        </is>
      </c>
      <c r="J152" s="155">
        <f>IFERROR(LOOKUP(2,1/(tblFX[Date]&lt;=[@Date]),tblFX[Rate]),XLOOKUP("CURRENT_FX_USDTHB",tblSettings[Key],tblSettings[Value]))</f>
        <v/>
      </c>
      <c r="K152" s="128">
        <f>G152*H152*J152</f>
        <v/>
      </c>
      <c r="L152" s="146" t="n">
        <v>0</v>
      </c>
      <c r="M152" s="146" t="n">
        <v>50</v>
      </c>
      <c r="N152" s="146" t="inlineStr"/>
      <c r="O152" s="142" t="inlineStr">
        <is>
          <t>USA STOCK HIS 2</t>
        </is>
      </c>
      <c r="P152" s="142" t="inlineStr">
        <is>
          <t>1 พฤษภาคม 2569 — ซื้อวันที่ 1 พ.ค. 69 เวลา 00:09 น. (เงินสำรอง/เติมยอดค้าง)</t>
        </is>
      </c>
    </row>
    <row r="153">
      <c r="B153" s="153" t="inlineStr">
        <is>
          <t>ITX-00148</t>
        </is>
      </c>
      <c r="C153" s="144" t="n">
        <v>46143</v>
      </c>
      <c r="D153" s="158" t="inlineStr">
        <is>
          <t>MTS-GOLD</t>
        </is>
      </c>
      <c r="E153" s="137" t="inlineStr">
        <is>
          <t>Commodity</t>
        </is>
      </c>
      <c r="F153" s="137" t="inlineStr">
        <is>
          <t>Buy</t>
        </is>
      </c>
      <c r="G153" s="156" t="n">
        <v>0.0064</v>
      </c>
      <c r="H153" s="157" t="n">
        <v>4611.99</v>
      </c>
      <c r="I153" s="137" t="inlineStr">
        <is>
          <t>USD</t>
        </is>
      </c>
      <c r="J153" s="155">
        <f>IFERROR(LOOKUP(2,1/(tblFX[Date]&lt;=[@Date]),tblFX[Rate]),XLOOKUP("CURRENT_FX_USDTHB",tblSettings[Key],tblSettings[Value]))</f>
        <v/>
      </c>
      <c r="K153" s="128">
        <f>G153*H153*J153</f>
        <v/>
      </c>
      <c r="L153" s="146" t="n">
        <v>0</v>
      </c>
      <c r="M153" s="146" t="n">
        <v>29.5167</v>
      </c>
      <c r="N153" s="146" t="inlineStr"/>
      <c r="O153" s="142" t="inlineStr">
        <is>
          <t>Dime app IMG_7097-7102</t>
        </is>
      </c>
      <c r="P153" s="142" t="inlineStr"/>
    </row>
    <row r="154">
      <c r="B154" s="153" t="inlineStr">
        <is>
          <t>ITX-00149</t>
        </is>
      </c>
      <c r="C154" s="144" t="n">
        <v>46147</v>
      </c>
      <c r="D154" s="158" t="inlineStr">
        <is>
          <t>AAPL</t>
        </is>
      </c>
      <c r="E154" s="137" t="inlineStr">
        <is>
          <t>US</t>
        </is>
      </c>
      <c r="F154" s="137" t="inlineStr">
        <is>
          <t>Buy</t>
        </is>
      </c>
      <c r="G154" s="156" t="n">
        <v>0.008765740918906207</v>
      </c>
      <c r="H154" s="157" t="n">
        <v>280.638</v>
      </c>
      <c r="I154" s="137" t="inlineStr">
        <is>
          <t>USD</t>
        </is>
      </c>
      <c r="J154" s="155">
        <f>IFERROR(LOOKUP(2,1/(tblFX[Date]&lt;=[@Date]),tblFX[Rate]),XLOOKUP("CURRENT_FX_USDTHB",tblSettings[Key],tblSettings[Value]))</f>
        <v/>
      </c>
      <c r="K154" s="128">
        <f>G154*H154*J154</f>
        <v/>
      </c>
      <c r="L154" s="146" t="n">
        <v>0</v>
      </c>
      <c r="M154" s="146" t="n">
        <v>2.46</v>
      </c>
      <c r="N154" s="146" t="inlineStr"/>
      <c r="O154" s="142" t="inlineStr">
        <is>
          <t>USA STOCK HIS 2</t>
        </is>
      </c>
      <c r="P154" s="142" t="inlineStr">
        <is>
          <t>พฤษภาคม 2569 — ซื้อวันที่ 5 พ.ค. 69 เวลา 21:24-21:31 น. (ย้อนหลังจาก Google Drive backup)</t>
        </is>
      </c>
    </row>
    <row r="155">
      <c r="B155" s="153" t="inlineStr">
        <is>
          <t>ITX-00150</t>
        </is>
      </c>
      <c r="C155" s="144" t="n">
        <v>46147</v>
      </c>
      <c r="D155" s="158" t="inlineStr">
        <is>
          <t>AMPX</t>
        </is>
      </c>
      <c r="E155" s="137" t="inlineStr">
        <is>
          <t>US</t>
        </is>
      </c>
      <c r="F155" s="137" t="inlineStr">
        <is>
          <t>Buy</t>
        </is>
      </c>
      <c r="G155" s="156" t="n">
        <v>0.08679741015295112</v>
      </c>
      <c r="H155" s="157" t="n">
        <v>21.314</v>
      </c>
      <c r="I155" s="137" t="inlineStr">
        <is>
          <t>USD</t>
        </is>
      </c>
      <c r="J155" s="155">
        <f>IFERROR(LOOKUP(2,1/(tblFX[Date]&lt;=[@Date]),tblFX[Rate]),XLOOKUP("CURRENT_FX_USDTHB",tblSettings[Key],tblSettings[Value]))</f>
        <v/>
      </c>
      <c r="K155" s="128">
        <f>G155*H155*J155</f>
        <v/>
      </c>
      <c r="L155" s="146" t="n">
        <v>0</v>
      </c>
      <c r="M155" s="146" t="n">
        <v>1.85</v>
      </c>
      <c r="N155" s="146" t="inlineStr"/>
      <c r="O155" s="142" t="inlineStr">
        <is>
          <t>USA STOCK HIS 2</t>
        </is>
      </c>
      <c r="P155" s="142" t="inlineStr">
        <is>
          <t>พฤษภาคม 2569 — ซื้อวันที่ 5 พ.ค. 69 เวลา 21:24-21:31 น. (ย้อนหลังจาก Google Drive backup)</t>
        </is>
      </c>
    </row>
    <row r="156">
      <c r="B156" s="153" t="inlineStr">
        <is>
          <t>ITX-00151</t>
        </is>
      </c>
      <c r="C156" s="144" t="n">
        <v>46147</v>
      </c>
      <c r="D156" s="158" t="inlineStr">
        <is>
          <t>AMZN</t>
        </is>
      </c>
      <c r="E156" s="137" t="inlineStr">
        <is>
          <t>US</t>
        </is>
      </c>
      <c r="F156" s="137" t="inlineStr">
        <is>
          <t>Buy</t>
        </is>
      </c>
      <c r="G156" s="156" t="n">
        <v>0.007471456136024025</v>
      </c>
      <c r="H156" s="157" t="n">
        <v>275.716</v>
      </c>
      <c r="I156" s="137" t="inlineStr">
        <is>
          <t>USD</t>
        </is>
      </c>
      <c r="J156" s="155">
        <f>IFERROR(LOOKUP(2,1/(tblFX[Date]&lt;=[@Date]),tblFX[Rate]),XLOOKUP("CURRENT_FX_USDTHB",tblSettings[Key],tblSettings[Value]))</f>
        <v/>
      </c>
      <c r="K156" s="128">
        <f>G156*H156*J156</f>
        <v/>
      </c>
      <c r="L156" s="146" t="n">
        <v>0</v>
      </c>
      <c r="M156" s="146" t="n">
        <v>2.06</v>
      </c>
      <c r="N156" s="146" t="inlineStr"/>
      <c r="O156" s="142" t="inlineStr">
        <is>
          <t>USA STOCK HIS 2</t>
        </is>
      </c>
      <c r="P156" s="142" t="inlineStr">
        <is>
          <t>พฤษภาคม 2569 — ซื้อวันที่ 5 พ.ค. 69 เวลา 21:24-21:31 น. (ย้อนหลังจาก Google Drive backup)</t>
        </is>
      </c>
    </row>
    <row r="157">
      <c r="B157" s="153" t="inlineStr">
        <is>
          <t>ITX-00152</t>
        </is>
      </c>
      <c r="C157" s="144" t="n">
        <v>46147</v>
      </c>
      <c r="D157" s="158" t="inlineStr">
        <is>
          <t>BEPC</t>
        </is>
      </c>
      <c r="E157" s="137" t="inlineStr">
        <is>
          <t>US</t>
        </is>
      </c>
      <c r="F157" s="137" t="inlineStr">
        <is>
          <t>Buy</t>
        </is>
      </c>
      <c r="G157" s="156" t="n">
        <v>0.08486251170992451</v>
      </c>
      <c r="H157" s="157" t="n">
        <v>36.294</v>
      </c>
      <c r="I157" s="137" t="inlineStr">
        <is>
          <t>USD</t>
        </is>
      </c>
      <c r="J157" s="155">
        <f>IFERROR(LOOKUP(2,1/(tblFX[Date]&lt;=[@Date]),tblFX[Rate]),XLOOKUP("CURRENT_FX_USDTHB",tblSettings[Key],tblSettings[Value]))</f>
        <v/>
      </c>
      <c r="K157" s="128">
        <f>G157*H157*J157</f>
        <v/>
      </c>
      <c r="L157" s="146" t="n">
        <v>0</v>
      </c>
      <c r="M157" s="146" t="n">
        <v>3.08</v>
      </c>
      <c r="N157" s="146" t="inlineStr"/>
      <c r="O157" s="142" t="inlineStr">
        <is>
          <t>USA STOCK HIS 2</t>
        </is>
      </c>
      <c r="P157" s="142" t="inlineStr">
        <is>
          <t>พฤษภาคม 2569 — ซื้อวันที่ 5 พ.ค. 69 เวลา 21:24-21:31 น. (ย้อนหลังจาก Google Drive backup)</t>
        </is>
      </c>
    </row>
    <row r="158">
      <c r="B158" s="153" t="inlineStr">
        <is>
          <t>ITX-00153</t>
        </is>
      </c>
      <c r="C158" s="144" t="n">
        <v>46147</v>
      </c>
      <c r="D158" s="158" t="inlineStr">
        <is>
          <t>GOOGL</t>
        </is>
      </c>
      <c r="E158" s="137" t="inlineStr">
        <is>
          <t>US</t>
        </is>
      </c>
      <c r="F158" s="137" t="inlineStr">
        <is>
          <t>Buy</t>
        </is>
      </c>
      <c r="G158" s="156" t="n">
        <v>0.006336809133248155</v>
      </c>
      <c r="H158" s="157" t="n">
        <v>388.208</v>
      </c>
      <c r="I158" s="137" t="inlineStr">
        <is>
          <t>USD</t>
        </is>
      </c>
      <c r="J158" s="155">
        <f>IFERROR(LOOKUP(2,1/(tblFX[Date]&lt;=[@Date]),tblFX[Rate]),XLOOKUP("CURRENT_FX_USDTHB",tblSettings[Key],tblSettings[Value]))</f>
        <v/>
      </c>
      <c r="K158" s="128">
        <f>G158*H158*J158</f>
        <v/>
      </c>
      <c r="L158" s="146" t="n">
        <v>0</v>
      </c>
      <c r="M158" s="146" t="n">
        <v>2.46</v>
      </c>
      <c r="N158" s="146" t="inlineStr"/>
      <c r="O158" s="142" t="inlineStr">
        <is>
          <t>USA STOCK HIS 2</t>
        </is>
      </c>
      <c r="P158" s="142" t="inlineStr">
        <is>
          <t>พฤษภาคม 2569 — ซื้อวันที่ 5 พ.ค. 69 เวลา 21:24-21:31 น. (ย้อนหลังจาก Google Drive backup)</t>
        </is>
      </c>
    </row>
    <row r="159">
      <c r="B159" s="153" t="inlineStr">
        <is>
          <t>ITX-00154</t>
        </is>
      </c>
      <c r="C159" s="144" t="n">
        <v>46147</v>
      </c>
      <c r="D159" s="158" t="inlineStr">
        <is>
          <t>LLY</t>
        </is>
      </c>
      <c r="E159" s="137" t="inlineStr">
        <is>
          <t>US</t>
        </is>
      </c>
      <c r="F159" s="137" t="inlineStr">
        <is>
          <t>Buy</t>
        </is>
      </c>
      <c r="G159" s="156" t="n">
        <v>0.002516387204477942</v>
      </c>
      <c r="H159" s="157" t="n">
        <v>977.592</v>
      </c>
      <c r="I159" s="137" t="inlineStr">
        <is>
          <t>USD</t>
        </is>
      </c>
      <c r="J159" s="155">
        <f>IFERROR(LOOKUP(2,1/(tblFX[Date]&lt;=[@Date]),tblFX[Rate]),XLOOKUP("CURRENT_FX_USDTHB",tblSettings[Key],tblSettings[Value]))</f>
        <v/>
      </c>
      <c r="K159" s="128">
        <f>G159*H159*J159</f>
        <v/>
      </c>
      <c r="L159" s="146" t="n">
        <v>0</v>
      </c>
      <c r="M159" s="146" t="n">
        <v>2.46</v>
      </c>
      <c r="N159" s="146" t="inlineStr"/>
      <c r="O159" s="142" t="inlineStr">
        <is>
          <t>USA STOCK HIS 2</t>
        </is>
      </c>
      <c r="P159" s="142" t="inlineStr">
        <is>
          <t>พฤษภาคม 2569 — ซื้อวันที่ 5 พ.ค. 69 เวลา 21:24-21:31 น. (ย้อนหลังจาก Google Drive backup)</t>
        </is>
      </c>
    </row>
    <row r="160">
      <c r="B160" s="153" t="inlineStr">
        <is>
          <t>ITX-00155</t>
        </is>
      </c>
      <c r="C160" s="144" t="n">
        <v>46147</v>
      </c>
      <c r="D160" s="158" t="inlineStr">
        <is>
          <t>META</t>
        </is>
      </c>
      <c r="E160" s="137" t="inlineStr">
        <is>
          <t>US</t>
        </is>
      </c>
      <c r="F160" s="137" t="inlineStr">
        <is>
          <t>Buy</t>
        </is>
      </c>
      <c r="G160" s="156" t="n">
        <v>0.01019111652284398</v>
      </c>
      <c r="H160" s="157" t="n">
        <v>604.448</v>
      </c>
      <c r="I160" s="137" t="inlineStr">
        <is>
          <t>USD</t>
        </is>
      </c>
      <c r="J160" s="155">
        <f>IFERROR(LOOKUP(2,1/(tblFX[Date]&lt;=[@Date]),tblFX[Rate]),XLOOKUP("CURRENT_FX_USDTHB",tblSettings[Key],tblSettings[Value]))</f>
        <v/>
      </c>
      <c r="K160" s="128">
        <f>G160*H160*J160</f>
        <v/>
      </c>
      <c r="L160" s="146" t="n">
        <v>0</v>
      </c>
      <c r="M160" s="146" t="n">
        <v>6.16</v>
      </c>
      <c r="N160" s="146" t="inlineStr"/>
      <c r="O160" s="142" t="inlineStr">
        <is>
          <t>USA STOCK HIS 2</t>
        </is>
      </c>
      <c r="P160" s="142" t="inlineStr">
        <is>
          <t>พฤษภาคม 2569 — ซื้อวันที่ 5 พ.ค. 69 เวลา 21:24-21:31 น. (ย้อนหลังจาก Google Drive backup)</t>
        </is>
      </c>
    </row>
    <row r="161">
      <c r="B161" s="153" t="inlineStr">
        <is>
          <t>ITX-00156</t>
        </is>
      </c>
      <c r="C161" s="144" t="n">
        <v>46147</v>
      </c>
      <c r="D161" s="158" t="inlineStr">
        <is>
          <t>MSFT</t>
        </is>
      </c>
      <c r="E161" s="137" t="inlineStr">
        <is>
          <t>US</t>
        </is>
      </c>
      <c r="F161" s="137" t="inlineStr">
        <is>
          <t>Buy</t>
        </is>
      </c>
      <c r="G161" s="156" t="n">
        <v>0.01495455274944924</v>
      </c>
      <c r="H161" s="157" t="n">
        <v>411.246</v>
      </c>
      <c r="I161" s="137" t="inlineStr">
        <is>
          <t>USD</t>
        </is>
      </c>
      <c r="J161" s="155">
        <f>IFERROR(LOOKUP(2,1/(tblFX[Date]&lt;=[@Date]),tblFX[Rate]),XLOOKUP("CURRENT_FX_USDTHB",tblSettings[Key],tblSettings[Value]))</f>
        <v/>
      </c>
      <c r="K161" s="128">
        <f>G161*H161*J161</f>
        <v/>
      </c>
      <c r="L161" s="146" t="n">
        <v>0</v>
      </c>
      <c r="M161" s="146" t="n">
        <v>6.15</v>
      </c>
      <c r="N161" s="146" t="inlineStr"/>
      <c r="O161" s="142" t="inlineStr">
        <is>
          <t>USA STOCK HIS 2</t>
        </is>
      </c>
      <c r="P161" s="142" t="inlineStr">
        <is>
          <t>พฤษภาคม 2569 — ซื้อวันที่ 5 พ.ค. 69 เวลา 21:24-21:31 น. (ย้อนหลังจาก Google Drive backup)</t>
        </is>
      </c>
    </row>
    <row r="162">
      <c r="B162" s="153" t="inlineStr">
        <is>
          <t>ITX-00157</t>
        </is>
      </c>
      <c r="C162" s="144" t="n">
        <v>46147</v>
      </c>
      <c r="D162" s="158" t="inlineStr">
        <is>
          <t>NVDA</t>
        </is>
      </c>
      <c r="E162" s="137" t="inlineStr">
        <is>
          <t>US</t>
        </is>
      </c>
      <c r="F162" s="137" t="inlineStr">
        <is>
          <t>Buy</t>
        </is>
      </c>
      <c r="G162" s="156" t="n">
        <v>0.01550574920960954</v>
      </c>
      <c r="H162" s="157" t="n">
        <v>198.636</v>
      </c>
      <c r="I162" s="137" t="inlineStr">
        <is>
          <t>USD</t>
        </is>
      </c>
      <c r="J162" s="155">
        <f>IFERROR(LOOKUP(2,1/(tblFX[Date]&lt;=[@Date]),tblFX[Rate]),XLOOKUP("CURRENT_FX_USDTHB",tblSettings[Key],tblSettings[Value]))</f>
        <v/>
      </c>
      <c r="K162" s="128">
        <f>G162*H162*J162</f>
        <v/>
      </c>
      <c r="L162" s="146" t="n">
        <v>0</v>
      </c>
      <c r="M162" s="146" t="n">
        <v>3.08</v>
      </c>
      <c r="N162" s="146" t="inlineStr"/>
      <c r="O162" s="142" t="inlineStr">
        <is>
          <t>USA STOCK HIS 2</t>
        </is>
      </c>
      <c r="P162" s="142" t="inlineStr">
        <is>
          <t>พฤษภาคม 2569 — ซื้อวันที่ 5 พ.ค. 69 เวลา 21:24-21:31 น. (ย้อนหลังจาก Google Drive backup)</t>
        </is>
      </c>
    </row>
    <row r="163">
      <c r="B163" s="153" t="inlineStr">
        <is>
          <t>ITX-00158</t>
        </is>
      </c>
      <c r="C163" s="144" t="n">
        <v>46147</v>
      </c>
      <c r="D163" s="158" t="inlineStr">
        <is>
          <t>PRCT</t>
        </is>
      </c>
      <c r="E163" s="137" t="inlineStr">
        <is>
          <t>US</t>
        </is>
      </c>
      <c r="F163" s="137" t="inlineStr">
        <is>
          <t>Buy</t>
        </is>
      </c>
      <c r="G163" s="156" t="n">
        <v>0.1837124224590425</v>
      </c>
      <c r="H163" s="157" t="n">
        <v>25.148</v>
      </c>
      <c r="I163" s="137" t="inlineStr">
        <is>
          <t>USD</t>
        </is>
      </c>
      <c r="J163" s="155">
        <f>IFERROR(LOOKUP(2,1/(tblFX[Date]&lt;=[@Date]),tblFX[Rate]),XLOOKUP("CURRENT_FX_USDTHB",tblSettings[Key],tblSettings[Value]))</f>
        <v/>
      </c>
      <c r="K163" s="128">
        <f>G163*H163*J163</f>
        <v/>
      </c>
      <c r="L163" s="146" t="n">
        <v>0</v>
      </c>
      <c r="M163" s="146" t="n">
        <v>4.62</v>
      </c>
      <c r="N163" s="146" t="inlineStr"/>
      <c r="O163" s="142" t="inlineStr">
        <is>
          <t>USA STOCK HIS 2</t>
        </is>
      </c>
      <c r="P163" s="142" t="inlineStr">
        <is>
          <t>พฤษภาคม 2569 — ซื้อวันที่ 5 พ.ค. 69 เวลา 21:24-21:31 น. (ย้อนหลังจาก Google Drive backup)</t>
        </is>
      </c>
    </row>
    <row r="164">
      <c r="B164" s="153" t="inlineStr">
        <is>
          <t>ITX-00159</t>
        </is>
      </c>
      <c r="C164" s="144" t="n">
        <v>46147</v>
      </c>
      <c r="D164" s="158" t="inlineStr">
        <is>
          <t>SCHD</t>
        </is>
      </c>
      <c r="E164" s="137" t="inlineStr">
        <is>
          <t>US</t>
        </is>
      </c>
      <c r="F164" s="137" t="inlineStr">
        <is>
          <t>Buy</t>
        </is>
      </c>
      <c r="G164" s="156" t="n">
        <v>0.09765996575559642</v>
      </c>
      <c r="H164" s="157" t="n">
        <v>31.538</v>
      </c>
      <c r="I164" s="137" t="inlineStr">
        <is>
          <t>USD</t>
        </is>
      </c>
      <c r="J164" s="155">
        <f>IFERROR(LOOKUP(2,1/(tblFX[Date]&lt;=[@Date]),tblFX[Rate]),XLOOKUP("CURRENT_FX_USDTHB",tblSettings[Key],tblSettings[Value]))</f>
        <v/>
      </c>
      <c r="K164" s="128">
        <f>G164*H164*J164</f>
        <v/>
      </c>
      <c r="L164" s="146" t="n">
        <v>0</v>
      </c>
      <c r="M164" s="146" t="n">
        <v>3.08</v>
      </c>
      <c r="N164" s="146" t="inlineStr"/>
      <c r="O164" s="142" t="inlineStr">
        <is>
          <t>USA STOCK HIS 2</t>
        </is>
      </c>
      <c r="P164" s="142" t="inlineStr">
        <is>
          <t>พฤษภาคม 2569 — ซื้อวันที่ 5 พ.ค. 69 เวลา 21:24-21:31 น. (ย้อนหลังจาก Google Drive backup)</t>
        </is>
      </c>
    </row>
    <row r="165">
      <c r="B165" s="153" t="inlineStr">
        <is>
          <t>ITX-00160</t>
        </is>
      </c>
      <c r="C165" s="144" t="n">
        <v>46147</v>
      </c>
      <c r="D165" s="158" t="inlineStr">
        <is>
          <t>SCHG</t>
        </is>
      </c>
      <c r="E165" s="137" t="inlineStr">
        <is>
          <t>US</t>
        </is>
      </c>
      <c r="F165" s="137" t="inlineStr">
        <is>
          <t>Buy</t>
        </is>
      </c>
      <c r="G165" s="156" t="n">
        <v>0.1110175100788254</v>
      </c>
      <c r="H165" s="157" t="n">
        <v>33.238</v>
      </c>
      <c r="I165" s="137" t="inlineStr">
        <is>
          <t>USD</t>
        </is>
      </c>
      <c r="J165" s="155">
        <f>IFERROR(LOOKUP(2,1/(tblFX[Date]&lt;=[@Date]),tblFX[Rate]),XLOOKUP("CURRENT_FX_USDTHB",tblSettings[Key],tblSettings[Value]))</f>
        <v/>
      </c>
      <c r="K165" s="128">
        <f>G165*H165*J165</f>
        <v/>
      </c>
      <c r="L165" s="146" t="n">
        <v>0</v>
      </c>
      <c r="M165" s="146" t="n">
        <v>3.69</v>
      </c>
      <c r="N165" s="146" t="inlineStr"/>
      <c r="O165" s="142" t="inlineStr">
        <is>
          <t>USA STOCK HIS 2</t>
        </is>
      </c>
      <c r="P165" s="142" t="inlineStr">
        <is>
          <t>พฤษภาคม 2569 — ซื้อวันที่ 5 พ.ค. 69 เวลา 21:24-21:31 น. (ย้อนหลังจาก Google Drive backup)</t>
        </is>
      </c>
    </row>
    <row r="166">
      <c r="B166" s="153" t="inlineStr">
        <is>
          <t>ITX-00161</t>
        </is>
      </c>
      <c r="C166" s="144" t="n">
        <v>46147</v>
      </c>
      <c r="D166" s="158" t="inlineStr">
        <is>
          <t>V</t>
        </is>
      </c>
      <c r="E166" s="137" t="inlineStr">
        <is>
          <t>US</t>
        </is>
      </c>
      <c r="F166" s="137" t="inlineStr">
        <is>
          <t>Buy</t>
        </is>
      </c>
      <c r="G166" s="156" t="n">
        <v>0.01435103501404041</v>
      </c>
      <c r="H166" s="157" t="n">
        <v>321.928</v>
      </c>
      <c r="I166" s="137" t="inlineStr">
        <is>
          <t>USD</t>
        </is>
      </c>
      <c r="J166" s="155">
        <f>IFERROR(LOOKUP(2,1/(tblFX[Date]&lt;=[@Date]),tblFX[Rate]),XLOOKUP("CURRENT_FX_USDTHB",tblSettings[Key],tblSettings[Value]))</f>
        <v/>
      </c>
      <c r="K166" s="128">
        <f>G166*H166*J166</f>
        <v/>
      </c>
      <c r="L166" s="146" t="n">
        <v>0</v>
      </c>
      <c r="M166" s="146" t="n">
        <v>4.62</v>
      </c>
      <c r="N166" s="146" t="inlineStr"/>
      <c r="O166" s="142" t="inlineStr">
        <is>
          <t>USA STOCK HIS 2</t>
        </is>
      </c>
      <c r="P166" s="142" t="inlineStr">
        <is>
          <t>พฤษภาคม 2569 — ซื้อวันที่ 5 พ.ค. 69 เวลา 21:24-21:31 น. (ย้อนหลังจาก Google Drive backup)</t>
        </is>
      </c>
    </row>
    <row r="167">
      <c r="B167" s="153" t="inlineStr">
        <is>
          <t>ITX-00162</t>
        </is>
      </c>
      <c r="C167" s="144" t="n">
        <v>46170</v>
      </c>
      <c r="D167" s="158" t="inlineStr">
        <is>
          <t>MTS-GOLD</t>
        </is>
      </c>
      <c r="E167" s="137" t="inlineStr">
        <is>
          <t>Commodity</t>
        </is>
      </c>
      <c r="F167" s="137" t="inlineStr">
        <is>
          <t>Buy</t>
        </is>
      </c>
      <c r="G167" s="156" t="n">
        <v>0.0225</v>
      </c>
      <c r="H167" s="157" t="n">
        <v>4431.33</v>
      </c>
      <c r="I167" s="137" t="inlineStr">
        <is>
          <t>USD</t>
        </is>
      </c>
      <c r="J167" s="155">
        <f>IFERROR(LOOKUP(2,1/(tblFX[Date]&lt;=[@Date]),tblFX[Rate]),XLOOKUP("CURRENT_FX_USDTHB",tblSettings[Key],tblSettings[Value]))</f>
        <v/>
      </c>
      <c r="K167" s="128">
        <f>G167*H167*J167</f>
        <v/>
      </c>
      <c r="L167" s="146" t="n">
        <v>0</v>
      </c>
      <c r="M167" s="146" t="n">
        <v>99.70489999999999</v>
      </c>
      <c r="N167" s="146" t="inlineStr"/>
      <c r="O167" s="142" t="inlineStr">
        <is>
          <t>Dime app IMG_7097-7102</t>
        </is>
      </c>
      <c r="P167" s="142" t="inlineStr"/>
    </row>
    <row r="168">
      <c r="B168" s="153" t="inlineStr">
        <is>
          <t>ITX-00163</t>
        </is>
      </c>
      <c r="C168" s="144" t="n">
        <v>46181</v>
      </c>
      <c r="D168" s="158" t="inlineStr">
        <is>
          <t>MTS-GOLD</t>
        </is>
      </c>
      <c r="E168" s="137" t="inlineStr">
        <is>
          <t>Commodity</t>
        </is>
      </c>
      <c r="F168" s="137" t="inlineStr">
        <is>
          <t>Buy</t>
        </is>
      </c>
      <c r="G168" s="156" t="n">
        <v>0.0116</v>
      </c>
      <c r="H168" s="157" t="n">
        <v>4303.98</v>
      </c>
      <c r="I168" s="137" t="inlineStr">
        <is>
          <t>USD</t>
        </is>
      </c>
      <c r="J168" s="155">
        <f>IFERROR(LOOKUP(2,1/(tblFX[Date]&lt;=[@Date]),tblFX[Rate]),XLOOKUP("CURRENT_FX_USDTHB",tblSettings[Key],tblSettings[Value]))</f>
        <v/>
      </c>
      <c r="K168" s="128">
        <f>G168*H168*J168</f>
        <v/>
      </c>
      <c r="L168" s="146" t="n">
        <v>0</v>
      </c>
      <c r="M168" s="146" t="n">
        <v>49.9262</v>
      </c>
      <c r="N168" s="146" t="inlineStr"/>
      <c r="O168" s="142" t="inlineStr">
        <is>
          <t>Dime app IMG_7097-7102</t>
        </is>
      </c>
      <c r="P168" s="142" t="inlineStr"/>
    </row>
    <row r="169">
      <c r="B169" s="153" t="inlineStr">
        <is>
          <t>ITX-00164</t>
        </is>
      </c>
      <c r="C169" s="144" t="n">
        <v>46183</v>
      </c>
      <c r="D169" s="158" t="inlineStr">
        <is>
          <t>MTS-GOLD</t>
        </is>
      </c>
      <c r="E169" s="137" t="inlineStr">
        <is>
          <t>Commodity</t>
        </is>
      </c>
      <c r="F169" s="137" t="inlineStr">
        <is>
          <t>Buy</t>
        </is>
      </c>
      <c r="G169" s="156" t="n">
        <v>0.0072</v>
      </c>
      <c r="H169" s="157" t="n">
        <v>4131.96</v>
      </c>
      <c r="I169" s="137" t="inlineStr">
        <is>
          <t>USD</t>
        </is>
      </c>
      <c r="J169" s="155">
        <f>IFERROR(LOOKUP(2,1/(tblFX[Date]&lt;=[@Date]),tblFX[Rate]),XLOOKUP("CURRENT_FX_USDTHB",tblSettings[Key],tblSettings[Value]))</f>
        <v/>
      </c>
      <c r="K169" s="128">
        <f>G169*H169*J169</f>
        <v/>
      </c>
      <c r="L169" s="146" t="n">
        <v>0</v>
      </c>
      <c r="M169" s="146" t="n">
        <v>29.7501</v>
      </c>
      <c r="N169" s="146" t="inlineStr"/>
      <c r="O169" s="142" t="inlineStr">
        <is>
          <t>Dime app IMG_7097-7102</t>
        </is>
      </c>
      <c r="P169" s="142" t="inlineStr"/>
    </row>
    <row r="170">
      <c r="B170" s="153" t="inlineStr">
        <is>
          <t>ITX-00165</t>
        </is>
      </c>
      <c r="C170" s="144" t="n">
        <v>46191</v>
      </c>
      <c r="D170" s="158" t="inlineStr">
        <is>
          <t>AAPL</t>
        </is>
      </c>
      <c r="E170" s="137" t="inlineStr">
        <is>
          <t>US</t>
        </is>
      </c>
      <c r="F170" s="137" t="inlineStr">
        <is>
          <t>Buy</t>
        </is>
      </c>
      <c r="G170" s="156" t="n">
        <v>0.02773855154327214</v>
      </c>
      <c r="H170" s="157" t="n">
        <v>297.42</v>
      </c>
      <c r="I170" s="137" t="inlineStr">
        <is>
          <t>USD</t>
        </is>
      </c>
      <c r="J170" s="155">
        <f>IFERROR(LOOKUP(2,1/(tblFX[Date]&lt;=[@Date]),tblFX[Rate]),XLOOKUP("CURRENT_FX_USDTHB",tblSettings[Key],tblSettings[Value]))</f>
        <v/>
      </c>
      <c r="K170" s="128">
        <f>G170*H170*J170</f>
        <v/>
      </c>
      <c r="L170" s="146" t="n">
        <v>0</v>
      </c>
      <c r="M170" s="146" t="n">
        <v>8.25</v>
      </c>
      <c r="N170" s="146" t="inlineStr"/>
      <c r="O170" s="142" t="inlineStr">
        <is>
          <t>USA STOCK HIS 2</t>
        </is>
      </c>
      <c r="P170" s="142" t="inlineStr">
        <is>
          <t>มิถุนายน 2569 — ซื้อวันที่ 18 มิ.ย. 69 เวลา 23:01-23:06 น.</t>
        </is>
      </c>
    </row>
    <row r="171">
      <c r="B171" s="153" t="inlineStr">
        <is>
          <t>ITX-00166</t>
        </is>
      </c>
      <c r="C171" s="144" t="n">
        <v>46191</v>
      </c>
      <c r="D171" s="158" t="inlineStr">
        <is>
          <t>AMPX</t>
        </is>
      </c>
      <c r="E171" s="137" t="inlineStr">
        <is>
          <t>US</t>
        </is>
      </c>
      <c r="F171" s="137" t="inlineStr">
        <is>
          <t>Buy</t>
        </is>
      </c>
      <c r="G171" s="156" t="n">
        <v>0.5282366500192086</v>
      </c>
      <c r="H171" s="157" t="n">
        <v>15.618</v>
      </c>
      <c r="I171" s="137" t="inlineStr">
        <is>
          <t>USD</t>
        </is>
      </c>
      <c r="J171" s="155">
        <f>IFERROR(LOOKUP(2,1/(tblFX[Date]&lt;=[@Date]),tblFX[Rate]),XLOOKUP("CURRENT_FX_USDTHB",tblSettings[Key],tblSettings[Value]))</f>
        <v/>
      </c>
      <c r="K171" s="128">
        <f>G171*H171*J171</f>
        <v/>
      </c>
      <c r="L171" s="146" t="n">
        <v>0</v>
      </c>
      <c r="M171" s="146" t="n">
        <v>8.25</v>
      </c>
      <c r="N171" s="146" t="inlineStr"/>
      <c r="O171" s="142" t="inlineStr">
        <is>
          <t>USA STOCK HIS 2</t>
        </is>
      </c>
      <c r="P171" s="142" t="inlineStr">
        <is>
          <t>มิถุนายน 2569 — ซื้อวันที่ 18 มิ.ย. 69 เวลา 23:01-23:06 น.</t>
        </is>
      </c>
    </row>
    <row r="172">
      <c r="B172" s="153" t="inlineStr">
        <is>
          <t>ITX-00167</t>
        </is>
      </c>
      <c r="C172" s="144" t="n">
        <v>46191</v>
      </c>
      <c r="D172" s="158" t="inlineStr">
        <is>
          <t>AMZN</t>
        </is>
      </c>
      <c r="E172" s="137" t="inlineStr">
        <is>
          <t>US</t>
        </is>
      </c>
      <c r="F172" s="137" t="inlineStr">
        <is>
          <t>Buy</t>
        </is>
      </c>
      <c r="G172" s="156" t="n">
        <v>0.03394363299732565</v>
      </c>
      <c r="H172" s="157" t="n">
        <v>243.05</v>
      </c>
      <c r="I172" s="137" t="inlineStr">
        <is>
          <t>USD</t>
        </is>
      </c>
      <c r="J172" s="155">
        <f>IFERROR(LOOKUP(2,1/(tblFX[Date]&lt;=[@Date]),tblFX[Rate]),XLOOKUP("CURRENT_FX_USDTHB",tblSettings[Key],tblSettings[Value]))</f>
        <v/>
      </c>
      <c r="K172" s="128">
        <f>G172*H172*J172</f>
        <v/>
      </c>
      <c r="L172" s="146" t="n">
        <v>0</v>
      </c>
      <c r="M172" s="146" t="n">
        <v>8.25</v>
      </c>
      <c r="N172" s="146" t="inlineStr"/>
      <c r="O172" s="142" t="inlineStr">
        <is>
          <t>USA STOCK HIS 2</t>
        </is>
      </c>
      <c r="P172" s="142" t="inlineStr">
        <is>
          <t>มิถุนายน 2569 — ซื้อวันที่ 18 มิ.ย. 69 เวลา 23:01-23:06 น.</t>
        </is>
      </c>
    </row>
    <row r="173">
      <c r="B173" s="153" t="inlineStr">
        <is>
          <t>ITX-00168</t>
        </is>
      </c>
      <c r="C173" s="144" t="n">
        <v>46191</v>
      </c>
      <c r="D173" s="158" t="inlineStr">
        <is>
          <t>BEPC</t>
        </is>
      </c>
      <c r="E173" s="137" t="inlineStr">
        <is>
          <t>US</t>
        </is>
      </c>
      <c r="F173" s="137" t="inlineStr">
        <is>
          <t>Buy</t>
        </is>
      </c>
      <c r="G173" s="156" t="n">
        <v>0.1468076019645526</v>
      </c>
      <c r="H173" s="157" t="n">
        <v>37.464</v>
      </c>
      <c r="I173" s="137" t="inlineStr">
        <is>
          <t>USD</t>
        </is>
      </c>
      <c r="J173" s="155">
        <f>IFERROR(LOOKUP(2,1/(tblFX[Date]&lt;=[@Date]),tblFX[Rate]),XLOOKUP("CURRENT_FX_USDTHB",tblSettings[Key],tblSettings[Value]))</f>
        <v/>
      </c>
      <c r="K173" s="128">
        <f>G173*H173*J173</f>
        <v/>
      </c>
      <c r="L173" s="146" t="n">
        <v>0</v>
      </c>
      <c r="M173" s="146" t="n">
        <v>5.5</v>
      </c>
      <c r="N173" s="146" t="inlineStr"/>
      <c r="O173" s="142" t="inlineStr">
        <is>
          <t>USA STOCK HIS 2</t>
        </is>
      </c>
      <c r="P173" s="142" t="inlineStr">
        <is>
          <t>มิถุนายน 2569 — ซื้อวันที่ 18 มิ.ย. 69 เวลา 23:01-23:06 น.</t>
        </is>
      </c>
    </row>
    <row r="174">
      <c r="B174" s="153" t="inlineStr">
        <is>
          <t>ITX-00169</t>
        </is>
      </c>
      <c r="C174" s="144" t="n">
        <v>46191</v>
      </c>
      <c r="D174" s="158" t="inlineStr">
        <is>
          <t>GOOGL</t>
        </is>
      </c>
      <c r="E174" s="137" t="inlineStr">
        <is>
          <t>US</t>
        </is>
      </c>
      <c r="F174" s="137" t="inlineStr">
        <is>
          <t>Buy</t>
        </is>
      </c>
      <c r="G174" s="156" t="n">
        <v>0.01170671932866888</v>
      </c>
      <c r="H174" s="157" t="n">
        <v>365.602</v>
      </c>
      <c r="I174" s="137" t="inlineStr">
        <is>
          <t>USD</t>
        </is>
      </c>
      <c r="J174" s="155">
        <f>IFERROR(LOOKUP(2,1/(tblFX[Date]&lt;=[@Date]),tblFX[Rate]),XLOOKUP("CURRENT_FX_USDTHB",tblSettings[Key],tblSettings[Value]))</f>
        <v/>
      </c>
      <c r="K174" s="128">
        <f>G174*H174*J174</f>
        <v/>
      </c>
      <c r="L174" s="146" t="n">
        <v>0</v>
      </c>
      <c r="M174" s="146" t="n">
        <v>4.28</v>
      </c>
      <c r="N174" s="146" t="inlineStr"/>
      <c r="O174" s="142" t="inlineStr">
        <is>
          <t>USA STOCK HIS 2</t>
        </is>
      </c>
      <c r="P174" s="142" t="inlineStr">
        <is>
          <t>มิถุนายน 2569 — ซื้อวันที่ 18 มิ.ย. 69 เวลา 23:01-23:06 น.</t>
        </is>
      </c>
    </row>
    <row r="175">
      <c r="B175" s="153" t="inlineStr">
        <is>
          <t>ITX-00170</t>
        </is>
      </c>
      <c r="C175" s="144" t="n">
        <v>46191</v>
      </c>
      <c r="D175" s="158" t="inlineStr">
        <is>
          <t>LLY</t>
        </is>
      </c>
      <c r="E175" s="137" t="inlineStr">
        <is>
          <t>US</t>
        </is>
      </c>
      <c r="F175" s="137" t="inlineStr">
        <is>
          <t>Buy</t>
        </is>
      </c>
      <c r="G175" s="156" t="n">
        <v>0.003915584391821918</v>
      </c>
      <c r="H175" s="157" t="n">
        <v>1093.068</v>
      </c>
      <c r="I175" s="137" t="inlineStr">
        <is>
          <t>USD</t>
        </is>
      </c>
      <c r="J175" s="155">
        <f>IFERROR(LOOKUP(2,1/(tblFX[Date]&lt;=[@Date]),tblFX[Rate]),XLOOKUP("CURRENT_FX_USDTHB",tblSettings[Key],tblSettings[Value]))</f>
        <v/>
      </c>
      <c r="K175" s="128">
        <f>G175*H175*J175</f>
        <v/>
      </c>
      <c r="L175" s="146" t="n">
        <v>0</v>
      </c>
      <c r="M175" s="146" t="n">
        <v>4.28</v>
      </c>
      <c r="N175" s="146" t="inlineStr"/>
      <c r="O175" s="142" t="inlineStr">
        <is>
          <t>USA STOCK HIS 2</t>
        </is>
      </c>
      <c r="P175" s="142" t="inlineStr">
        <is>
          <t>มิถุนายน 2569 — ซื้อวันที่ 18 มิ.ย. 69 เวลา 23:01-23:06 น.</t>
        </is>
      </c>
    </row>
    <row r="176">
      <c r="B176" s="153" t="inlineStr">
        <is>
          <t>ITX-00171</t>
        </is>
      </c>
      <c r="C176" s="144" t="n">
        <v>46191</v>
      </c>
      <c r="D176" s="158" t="inlineStr">
        <is>
          <t>META</t>
        </is>
      </c>
      <c r="E176" s="137" t="inlineStr">
        <is>
          <t>US</t>
        </is>
      </c>
      <c r="F176" s="137" t="inlineStr">
        <is>
          <t>Buy</t>
        </is>
      </c>
      <c r="G176" s="156" t="n">
        <v>0.02177994090039979</v>
      </c>
      <c r="H176" s="157" t="n">
        <v>575.3</v>
      </c>
      <c r="I176" s="137" t="inlineStr">
        <is>
          <t>USD</t>
        </is>
      </c>
      <c r="J176" s="155">
        <f>IFERROR(LOOKUP(2,1/(tblFX[Date]&lt;=[@Date]),tblFX[Rate]),XLOOKUP("CURRENT_FX_USDTHB",tblSettings[Key],tblSettings[Value]))</f>
        <v/>
      </c>
      <c r="K176" s="128">
        <f>G176*H176*J176</f>
        <v/>
      </c>
      <c r="L176" s="146" t="n">
        <v>0</v>
      </c>
      <c r="M176" s="146" t="n">
        <v>12.53</v>
      </c>
      <c r="N176" s="146" t="inlineStr"/>
      <c r="O176" s="142" t="inlineStr">
        <is>
          <t>USA STOCK HIS 2</t>
        </is>
      </c>
      <c r="P176" s="142" t="inlineStr">
        <is>
          <t>มิถุนายน 2569 — ซื้อวันที่ 18 มิ.ย. 69 เวลา 23:01-23:06 น.</t>
        </is>
      </c>
    </row>
    <row r="177">
      <c r="B177" s="153" t="inlineStr">
        <is>
          <t>ITX-00172</t>
        </is>
      </c>
      <c r="C177" s="144" t="n">
        <v>46191</v>
      </c>
      <c r="D177" s="158" t="inlineStr">
        <is>
          <t>MSFT</t>
        </is>
      </c>
      <c r="E177" s="137" t="inlineStr">
        <is>
          <t>US</t>
        </is>
      </c>
      <c r="F177" s="137" t="inlineStr">
        <is>
          <t>Buy</t>
        </is>
      </c>
      <c r="G177" s="156" t="n">
        <v>0.03318718953278162</v>
      </c>
      <c r="H177" s="157" t="n">
        <v>377.254</v>
      </c>
      <c r="I177" s="137" t="inlineStr">
        <is>
          <t>USD</t>
        </is>
      </c>
      <c r="J177" s="155">
        <f>IFERROR(LOOKUP(2,1/(tblFX[Date]&lt;=[@Date]),tblFX[Rate]),XLOOKUP("CURRENT_FX_USDTHB",tblSettings[Key],tblSettings[Value]))</f>
        <v/>
      </c>
      <c r="K177" s="128">
        <f>G177*H177*J177</f>
        <v/>
      </c>
      <c r="L177" s="146" t="n">
        <v>0</v>
      </c>
      <c r="M177" s="146" t="n">
        <v>12.52</v>
      </c>
      <c r="N177" s="146" t="inlineStr"/>
      <c r="O177" s="142" t="inlineStr">
        <is>
          <t>USA STOCK HIS 2</t>
        </is>
      </c>
      <c r="P177" s="142" t="inlineStr">
        <is>
          <t>มิถุนายน 2569 — ซื้อวันที่ 18 มิ.ย. 69 เวลา 23:01-23:06 น.</t>
        </is>
      </c>
    </row>
    <row r="178">
      <c r="B178" s="153" t="inlineStr">
        <is>
          <t>ITX-00173</t>
        </is>
      </c>
      <c r="C178" s="144" t="n">
        <v>46191</v>
      </c>
      <c r="D178" s="158" t="inlineStr">
        <is>
          <t>NVDA</t>
        </is>
      </c>
      <c r="E178" s="137" t="inlineStr">
        <is>
          <t>US</t>
        </is>
      </c>
      <c r="F178" s="137" t="inlineStr">
        <is>
          <t>Buy</t>
        </is>
      </c>
      <c r="G178" s="156" t="n">
        <v>0.03363217972883756</v>
      </c>
      <c r="H178" s="157" t="n">
        <v>209.026</v>
      </c>
      <c r="I178" s="137" t="inlineStr">
        <is>
          <t>USD</t>
        </is>
      </c>
      <c r="J178" s="155">
        <f>IFERROR(LOOKUP(2,1/(tblFX[Date]&lt;=[@Date]),tblFX[Rate]),XLOOKUP("CURRENT_FX_USDTHB",tblSettings[Key],tblSettings[Value]))</f>
        <v/>
      </c>
      <c r="K178" s="128">
        <f>G178*H178*J178</f>
        <v/>
      </c>
      <c r="L178" s="146" t="n">
        <v>0</v>
      </c>
      <c r="M178" s="146" t="n">
        <v>7.03</v>
      </c>
      <c r="N178" s="146" t="inlineStr"/>
      <c r="O178" s="142" t="inlineStr">
        <is>
          <t>USA STOCK HIS 2</t>
        </is>
      </c>
      <c r="P178" s="142" t="inlineStr">
        <is>
          <t>มิถุนายน 2569 — ซื้อวันที่ 18 มิ.ย. 69 เวลา 23:01-23:06 น.</t>
        </is>
      </c>
    </row>
    <row r="179">
      <c r="B179" s="153" t="inlineStr">
        <is>
          <t>ITX-00174</t>
        </is>
      </c>
      <c r="C179" s="144" t="n">
        <v>46191</v>
      </c>
      <c r="D179" s="158" t="inlineStr">
        <is>
          <t>PRCT</t>
        </is>
      </c>
      <c r="E179" s="137" t="inlineStr">
        <is>
          <t>US</t>
        </is>
      </c>
      <c r="F179" s="137" t="inlineStr">
        <is>
          <t>Buy</t>
        </is>
      </c>
      <c r="G179" s="156" t="n">
        <v>0.4655812624964296</v>
      </c>
      <c r="H179" s="157" t="n">
        <v>21.006</v>
      </c>
      <c r="I179" s="137" t="inlineStr">
        <is>
          <t>USD</t>
        </is>
      </c>
      <c r="J179" s="155">
        <f>IFERROR(LOOKUP(2,1/(tblFX[Date]&lt;=[@Date]),tblFX[Rate]),XLOOKUP("CURRENT_FX_USDTHB",tblSettings[Key],tblSettings[Value]))</f>
        <v/>
      </c>
      <c r="K179" s="128">
        <f>G179*H179*J179</f>
        <v/>
      </c>
      <c r="L179" s="146" t="n">
        <v>0</v>
      </c>
      <c r="M179" s="146" t="n">
        <v>9.779999999999999</v>
      </c>
      <c r="N179" s="146" t="inlineStr"/>
      <c r="O179" s="142" t="inlineStr">
        <is>
          <t>USA STOCK HIS 2</t>
        </is>
      </c>
      <c r="P179" s="142" t="inlineStr">
        <is>
          <t>มิถุนายน 2569 — ซื้อวันที่ 18 มิ.ย. 69 เวลา 23:01-23:06 น.</t>
        </is>
      </c>
    </row>
    <row r="180">
      <c r="B180" s="153" t="inlineStr">
        <is>
          <t>ITX-00175</t>
        </is>
      </c>
      <c r="C180" s="144" t="n">
        <v>46191</v>
      </c>
      <c r="D180" s="158" t="inlineStr">
        <is>
          <t>SCHD</t>
        </is>
      </c>
      <c r="E180" s="137" t="inlineStr">
        <is>
          <t>US</t>
        </is>
      </c>
      <c r="F180" s="137" t="inlineStr">
        <is>
          <t>Buy</t>
        </is>
      </c>
      <c r="G180" s="156" t="n">
        <v>0.08659235468228478</v>
      </c>
      <c r="H180" s="157" t="n">
        <v>31.758</v>
      </c>
      <c r="I180" s="137" t="inlineStr">
        <is>
          <t>USD</t>
        </is>
      </c>
      <c r="J180" s="155">
        <f>IFERROR(LOOKUP(2,1/(tblFX[Date]&lt;=[@Date]),tblFX[Rate]),XLOOKUP("CURRENT_FX_USDTHB",tblSettings[Key],tblSettings[Value]))</f>
        <v/>
      </c>
      <c r="K180" s="128">
        <f>G180*H180*J180</f>
        <v/>
      </c>
      <c r="L180" s="146" t="n">
        <v>0</v>
      </c>
      <c r="M180" s="146" t="n">
        <v>2.75</v>
      </c>
      <c r="N180" s="146" t="inlineStr"/>
      <c r="O180" s="142" t="inlineStr">
        <is>
          <t>USA STOCK HIS 2</t>
        </is>
      </c>
      <c r="P180" s="142" t="inlineStr">
        <is>
          <t>มิถุนายน 2569 — ซื้อวันที่ 18 มิ.ย. 69 เวลา 23:01-23:06 น.</t>
        </is>
      </c>
    </row>
    <row r="181">
      <c r="B181" s="153" t="inlineStr">
        <is>
          <t>ITX-00176</t>
        </is>
      </c>
      <c r="C181" s="144" t="n">
        <v>46191</v>
      </c>
      <c r="D181" s="158" t="inlineStr">
        <is>
          <t>SCHG</t>
        </is>
      </c>
      <c r="E181" s="137" t="inlineStr">
        <is>
          <t>US</t>
        </is>
      </c>
      <c r="F181" s="137" t="inlineStr">
        <is>
          <t>Buy</t>
        </is>
      </c>
      <c r="G181" s="156" t="n">
        <v>0.08141393806619694</v>
      </c>
      <c r="H181" s="157" t="n">
        <v>33.778</v>
      </c>
      <c r="I181" s="137" t="inlineStr">
        <is>
          <t>USD</t>
        </is>
      </c>
      <c r="J181" s="155">
        <f>IFERROR(LOOKUP(2,1/(tblFX[Date]&lt;=[@Date]),tblFX[Rate]),XLOOKUP("CURRENT_FX_USDTHB",tblSettings[Key],tblSettings[Value]))</f>
        <v/>
      </c>
      <c r="K181" s="128">
        <f>G181*H181*J181</f>
        <v/>
      </c>
      <c r="L181" s="146" t="n">
        <v>0</v>
      </c>
      <c r="M181" s="146" t="n">
        <v>2.75</v>
      </c>
      <c r="N181" s="146" t="inlineStr"/>
      <c r="O181" s="142" t="inlineStr">
        <is>
          <t>USA STOCK HIS 2</t>
        </is>
      </c>
      <c r="P181" s="142" t="inlineStr">
        <is>
          <t>มิถุนายน 2569 — ซื้อวันที่ 18 มิ.ย. 69 เวลา 23:01-23:06 น.</t>
        </is>
      </c>
    </row>
    <row r="182">
      <c r="B182" s="153" t="inlineStr">
        <is>
          <t>ITX-00177</t>
        </is>
      </c>
      <c r="C182" s="144" t="n">
        <v>46191</v>
      </c>
      <c r="D182" s="158" t="inlineStr">
        <is>
          <t>V</t>
        </is>
      </c>
      <c r="E182" s="137" t="inlineStr">
        <is>
          <t>US</t>
        </is>
      </c>
      <c r="F182" s="137" t="inlineStr">
        <is>
          <t>Buy</t>
        </is>
      </c>
      <c r="G182" s="156" t="n">
        <v>0.02135830300231508</v>
      </c>
      <c r="H182" s="157" t="n">
        <v>329.146</v>
      </c>
      <c r="I182" s="137" t="inlineStr">
        <is>
          <t>USD</t>
        </is>
      </c>
      <c r="J182" s="155">
        <f>IFERROR(LOOKUP(2,1/(tblFX[Date]&lt;=[@Date]),tblFX[Rate]),XLOOKUP("CURRENT_FX_USDTHB",tblSettings[Key],tblSettings[Value]))</f>
        <v/>
      </c>
      <c r="K182" s="128">
        <f>G182*H182*J182</f>
        <v/>
      </c>
      <c r="L182" s="146" t="n">
        <v>0</v>
      </c>
      <c r="M182" s="146" t="n">
        <v>7.03</v>
      </c>
      <c r="N182" s="146" t="inlineStr"/>
      <c r="O182" s="142" t="inlineStr">
        <is>
          <t>USA STOCK HIS 2</t>
        </is>
      </c>
      <c r="P182" s="142" t="inlineStr">
        <is>
          <t>มิถุนายน 2569 — ซื้อวันที่ 18 มิ.ย. 69 เวลา 23:01-23:06 น.</t>
        </is>
      </c>
    </row>
    <row r="183">
      <c r="B183" s="153" t="inlineStr">
        <is>
          <t>ITX-00178</t>
        </is>
      </c>
      <c r="C183" s="144" t="n">
        <v>46224</v>
      </c>
      <c r="D183" s="158" t="inlineStr">
        <is>
          <t>AAPL</t>
        </is>
      </c>
      <c r="E183" s="137" t="inlineStr">
        <is>
          <t>US</t>
        </is>
      </c>
      <c r="F183" s="137" t="inlineStr">
        <is>
          <t>Buy</t>
        </is>
      </c>
      <c r="G183" s="156" t="n">
        <v>0.01367041428098525</v>
      </c>
      <c r="H183" s="157" t="n">
        <v>326.252</v>
      </c>
      <c r="I183" s="137" t="inlineStr">
        <is>
          <t>USD</t>
        </is>
      </c>
      <c r="J183" s="155">
        <f>IFERROR(LOOKUP(2,1/(tblFX[Date]&lt;=[@Date]),tblFX[Rate]),XLOOKUP("CURRENT_FX_USDTHB",tblSettings[Key],tblSettings[Value]))</f>
        <v/>
      </c>
      <c r="K183" s="128">
        <f>G183*H183*J183</f>
        <v/>
      </c>
      <c r="L183" s="146" t="n">
        <v>0</v>
      </c>
      <c r="M183" s="146" t="n">
        <v>4.46</v>
      </c>
      <c r="N183" s="146" t="inlineStr"/>
      <c r="O183" s="142" t="inlineStr">
        <is>
          <t>USA STOCK HIS 2</t>
        </is>
      </c>
      <c r="P183" s="142" t="inlineStr">
        <is>
          <t>กรกฎาคม 2569 — ซื้อวันที่ 21 ก.ค. 69 เวลา 21:14-21:20 น.</t>
        </is>
      </c>
    </row>
    <row r="184">
      <c r="B184" s="153" t="inlineStr">
        <is>
          <t>ITX-00179</t>
        </is>
      </c>
      <c r="C184" s="144" t="n">
        <v>46224</v>
      </c>
      <c r="D184" s="158" t="inlineStr">
        <is>
          <t>AMPX</t>
        </is>
      </c>
      <c r="E184" s="137" t="inlineStr">
        <is>
          <t>US</t>
        </is>
      </c>
      <c r="F184" s="137" t="inlineStr">
        <is>
          <t>Buy</t>
        </is>
      </c>
      <c r="G184" s="156" t="n">
        <v>0.8706085621040508</v>
      </c>
      <c r="H184" s="157" t="n">
        <v>10.418</v>
      </c>
      <c r="I184" s="137" t="inlineStr">
        <is>
          <t>USD</t>
        </is>
      </c>
      <c r="J184" s="155">
        <f>IFERROR(LOOKUP(2,1/(tblFX[Date]&lt;=[@Date]),tblFX[Rate]),XLOOKUP("CURRENT_FX_USDTHB",tblSettings[Key],tblSettings[Value]))</f>
        <v/>
      </c>
      <c r="K184" s="128">
        <f>G184*H184*J184</f>
        <v/>
      </c>
      <c r="L184" s="146" t="n">
        <v>0</v>
      </c>
      <c r="M184" s="146" t="n">
        <v>9.07</v>
      </c>
      <c r="N184" s="146" t="inlineStr"/>
      <c r="O184" s="142" t="inlineStr">
        <is>
          <t>USA STOCK HIS 2</t>
        </is>
      </c>
      <c r="P184" s="142" t="inlineStr">
        <is>
          <t>กรกฎาคม 2569 — ซื้อวันที่ 21 ก.ค. 69 เวลา 21:14-21:20 น.</t>
        </is>
      </c>
    </row>
    <row r="185">
      <c r="B185" s="153" t="inlineStr">
        <is>
          <t>ITX-00180</t>
        </is>
      </c>
      <c r="C185" s="144" t="n">
        <v>46224</v>
      </c>
      <c r="D185" s="158" t="inlineStr">
        <is>
          <t>AMZN</t>
        </is>
      </c>
      <c r="E185" s="137" t="inlineStr">
        <is>
          <t>US</t>
        </is>
      </c>
      <c r="F185" s="137" t="inlineStr">
        <is>
          <t>Buy</t>
        </is>
      </c>
      <c r="G185" s="156" t="n">
        <v>0.03669865829381586</v>
      </c>
      <c r="H185" s="157" t="n">
        <v>247.148</v>
      </c>
      <c r="I185" s="137" t="inlineStr">
        <is>
          <t>USD</t>
        </is>
      </c>
      <c r="J185" s="155">
        <f>IFERROR(LOOKUP(2,1/(tblFX[Date]&lt;=[@Date]),tblFX[Rate]),XLOOKUP("CURRENT_FX_USDTHB",tblSettings[Key],tblSettings[Value]))</f>
        <v/>
      </c>
      <c r="K185" s="128">
        <f>G185*H185*J185</f>
        <v/>
      </c>
      <c r="L185" s="146" t="n">
        <v>0</v>
      </c>
      <c r="M185" s="146" t="n">
        <v>9.07</v>
      </c>
      <c r="N185" s="146" t="inlineStr"/>
      <c r="O185" s="142" t="inlineStr">
        <is>
          <t>USA STOCK HIS 2</t>
        </is>
      </c>
      <c r="P185" s="142" t="inlineStr">
        <is>
          <t>กรกฎาคม 2569 — ซื้อวันที่ 21 ก.ค. 69 เวลา 21:14-21:20 น.</t>
        </is>
      </c>
    </row>
    <row r="186">
      <c r="B186" s="153" t="inlineStr">
        <is>
          <t>ITX-00181</t>
        </is>
      </c>
      <c r="C186" s="144" t="n">
        <v>46224</v>
      </c>
      <c r="D186" s="158" t="inlineStr">
        <is>
          <t>BEPC</t>
        </is>
      </c>
      <c r="E186" s="137" t="inlineStr">
        <is>
          <t>US</t>
        </is>
      </c>
      <c r="F186" s="137" t="inlineStr">
        <is>
          <t>Buy</t>
        </is>
      </c>
      <c r="G186" s="156" t="n">
        <v>0.1306844819503047</v>
      </c>
      <c r="H186" s="157" t="n">
        <v>34.128</v>
      </c>
      <c r="I186" s="137" t="inlineStr">
        <is>
          <t>USD</t>
        </is>
      </c>
      <c r="J186" s="155">
        <f>IFERROR(LOOKUP(2,1/(tblFX[Date]&lt;=[@Date]),tblFX[Rate]),XLOOKUP("CURRENT_FX_USDTHB",tblSettings[Key],tblSettings[Value]))</f>
        <v/>
      </c>
      <c r="K186" s="128">
        <f>G186*H186*J186</f>
        <v/>
      </c>
      <c r="L186" s="146" t="n">
        <v>0</v>
      </c>
      <c r="M186" s="146" t="n">
        <v>4.46</v>
      </c>
      <c r="N186" s="146" t="inlineStr"/>
      <c r="O186" s="142" t="inlineStr">
        <is>
          <t>USA STOCK HIS 2</t>
        </is>
      </c>
      <c r="P186" s="142" t="inlineStr">
        <is>
          <t>กรกฎาคม 2569 — ซื้อวันที่ 21 ก.ค. 69 เวลา 21:14-21:20 น.</t>
        </is>
      </c>
    </row>
    <row r="187">
      <c r="B187" s="153" t="inlineStr">
        <is>
          <t>ITX-00182</t>
        </is>
      </c>
      <c r="C187" s="144" t="n">
        <v>46224</v>
      </c>
      <c r="D187" s="158" t="inlineStr">
        <is>
          <t>GOOGL</t>
        </is>
      </c>
      <c r="E187" s="137" t="inlineStr">
        <is>
          <t>US</t>
        </is>
      </c>
      <c r="F187" s="137" t="inlineStr">
        <is>
          <t>Buy</t>
        </is>
      </c>
      <c r="G187" s="156" t="n">
        <v>0.02171372261435512</v>
      </c>
      <c r="H187" s="157" t="n">
        <v>349.088</v>
      </c>
      <c r="I187" s="137" t="inlineStr">
        <is>
          <t>USD</t>
        </is>
      </c>
      <c r="J187" s="155">
        <f>IFERROR(LOOKUP(2,1/(tblFX[Date]&lt;=[@Date]),tblFX[Rate]),XLOOKUP("CURRENT_FX_USDTHB",tblSettings[Key],tblSettings[Value]))</f>
        <v/>
      </c>
      <c r="K187" s="128">
        <f>G187*H187*J187</f>
        <v/>
      </c>
      <c r="L187" s="146" t="n">
        <v>0</v>
      </c>
      <c r="M187" s="146" t="n">
        <v>7.58</v>
      </c>
      <c r="N187" s="146" t="inlineStr"/>
      <c r="O187" s="142" t="inlineStr">
        <is>
          <t>USA STOCK HIS 2</t>
        </is>
      </c>
      <c r="P187" s="142" t="inlineStr">
        <is>
          <t>กรกฎาคม 2569 — ซื้อวันที่ 21 ก.ค. 69 เวลา 21:14-21:20 น.</t>
        </is>
      </c>
    </row>
    <row r="188">
      <c r="B188" s="153" t="inlineStr">
        <is>
          <t>ITX-00183</t>
        </is>
      </c>
      <c r="C188" s="144" t="n">
        <v>46224</v>
      </c>
      <c r="D188" s="158" t="inlineStr">
        <is>
          <t>LLY</t>
        </is>
      </c>
      <c r="E188" s="137" t="inlineStr">
        <is>
          <t>US</t>
        </is>
      </c>
      <c r="F188" s="137" t="inlineStr">
        <is>
          <t>Buy</t>
        </is>
      </c>
      <c r="G188" s="156" t="n">
        <v>0.003849958651789368</v>
      </c>
      <c r="H188" s="157" t="n">
        <v>1158.454</v>
      </c>
      <c r="I188" s="137" t="inlineStr">
        <is>
          <t>USD</t>
        </is>
      </c>
      <c r="J188" s="155">
        <f>IFERROR(LOOKUP(2,1/(tblFX[Date]&lt;=[@Date]),tblFX[Rate]),XLOOKUP("CURRENT_FX_USDTHB",tblSettings[Key],tblSettings[Value]))</f>
        <v/>
      </c>
      <c r="K188" s="128">
        <f>G188*H188*J188</f>
        <v/>
      </c>
      <c r="L188" s="146" t="n">
        <v>0</v>
      </c>
      <c r="M188" s="146" t="n">
        <v>4.46</v>
      </c>
      <c r="N188" s="146" t="inlineStr"/>
      <c r="O188" s="142" t="inlineStr">
        <is>
          <t>USA STOCK HIS 2</t>
        </is>
      </c>
      <c r="P188" s="142" t="inlineStr">
        <is>
          <t>กรกฎาคม 2569 — ซื้อวันที่ 21 ก.ค. 69 เวลา 21:14-21:20 น.</t>
        </is>
      </c>
    </row>
    <row r="189">
      <c r="B189" s="153" t="inlineStr">
        <is>
          <t>ITX-00184</t>
        </is>
      </c>
      <c r="C189" s="144" t="n">
        <v>46224</v>
      </c>
      <c r="D189" s="158" t="inlineStr">
        <is>
          <t>META</t>
        </is>
      </c>
      <c r="E189" s="137" t="inlineStr">
        <is>
          <t>US</t>
        </is>
      </c>
      <c r="F189" s="137" t="inlineStr">
        <is>
          <t>Buy</t>
        </is>
      </c>
      <c r="G189" s="156" t="n">
        <v>0.009442052113936159</v>
      </c>
      <c r="H189" s="157" t="n">
        <v>646.046</v>
      </c>
      <c r="I189" s="137" t="inlineStr">
        <is>
          <t>USD</t>
        </is>
      </c>
      <c r="J189" s="155">
        <f>IFERROR(LOOKUP(2,1/(tblFX[Date]&lt;=[@Date]),tblFX[Rate]),XLOOKUP("CURRENT_FX_USDTHB",tblSettings[Key],tblSettings[Value]))</f>
        <v/>
      </c>
      <c r="K189" s="128">
        <f>G189*H189*J189</f>
        <v/>
      </c>
      <c r="L189" s="146" t="n">
        <v>0</v>
      </c>
      <c r="M189" s="146" t="n">
        <v>6.1</v>
      </c>
      <c r="N189" s="146" t="inlineStr"/>
      <c r="O189" s="142" t="inlineStr">
        <is>
          <t>USA STOCK HIS 2</t>
        </is>
      </c>
      <c r="P189" s="142" t="inlineStr">
        <is>
          <t>กรกฎาคม 2569 — ซื้อวันที่ 21 ก.ค. 69 เวลา 21:14-21:20 น.</t>
        </is>
      </c>
    </row>
    <row r="190">
      <c r="B190" s="153" t="inlineStr">
        <is>
          <t>ITX-00185</t>
        </is>
      </c>
      <c r="C190" s="144" t="n">
        <v>46224</v>
      </c>
      <c r="D190" s="158" t="inlineStr">
        <is>
          <t>MSFT</t>
        </is>
      </c>
      <c r="E190" s="137" t="inlineStr">
        <is>
          <t>US</t>
        </is>
      </c>
      <c r="F190" s="137" t="inlineStr">
        <is>
          <t>Buy</t>
        </is>
      </c>
      <c r="G190" s="156" t="n">
        <v>0.02647824320868166</v>
      </c>
      <c r="H190" s="157" t="n">
        <v>398.818</v>
      </c>
      <c r="I190" s="137" t="inlineStr">
        <is>
          <t>USD</t>
        </is>
      </c>
      <c r="J190" s="155">
        <f>IFERROR(LOOKUP(2,1/(tblFX[Date]&lt;=[@Date]),tblFX[Rate]),XLOOKUP("CURRENT_FX_USDTHB",tblSettings[Key],tblSettings[Value]))</f>
        <v/>
      </c>
      <c r="K190" s="128">
        <f>G190*H190*J190</f>
        <v/>
      </c>
      <c r="L190" s="146" t="n">
        <v>0</v>
      </c>
      <c r="M190" s="146" t="n">
        <v>10.56</v>
      </c>
      <c r="N190" s="146" t="inlineStr"/>
      <c r="O190" s="142" t="inlineStr">
        <is>
          <t>USA STOCK HIS 2</t>
        </is>
      </c>
      <c r="P190" s="142" t="inlineStr">
        <is>
          <t>กรกฎาคม 2569 — ซื้อวันที่ 21 ก.ค. 69 เวลา 21:14-21:20 น.</t>
        </is>
      </c>
    </row>
    <row r="191">
      <c r="B191" s="153" t="inlineStr">
        <is>
          <t>ITX-00186</t>
        </is>
      </c>
      <c r="C191" s="144" t="n">
        <v>46224</v>
      </c>
      <c r="D191" s="158" t="inlineStr">
        <is>
          <t>NVDA</t>
        </is>
      </c>
      <c r="E191" s="137" t="inlineStr">
        <is>
          <t>US</t>
        </is>
      </c>
      <c r="F191" s="137" t="inlineStr">
        <is>
          <t>Buy</t>
        </is>
      </c>
      <c r="G191" s="156" t="n">
        <v>0.06114097179389275</v>
      </c>
      <c r="H191" s="157" t="n">
        <v>204.282</v>
      </c>
      <c r="I191" s="137" t="inlineStr">
        <is>
          <t>USD</t>
        </is>
      </c>
      <c r="J191" s="155">
        <f>IFERROR(LOOKUP(2,1/(tblFX[Date]&lt;=[@Date]),tblFX[Rate]),XLOOKUP("CURRENT_FX_USDTHB",tblSettings[Key],tblSettings[Value]))</f>
        <v/>
      </c>
      <c r="K191" s="128">
        <f>G191*H191*J191</f>
        <v/>
      </c>
      <c r="L191" s="146" t="n">
        <v>0</v>
      </c>
      <c r="M191" s="146" t="n">
        <v>12.49</v>
      </c>
      <c r="N191" s="146" t="inlineStr"/>
      <c r="O191" s="142" t="inlineStr">
        <is>
          <t>USA STOCK HIS 2</t>
        </is>
      </c>
      <c r="P191" s="142" t="inlineStr">
        <is>
          <t>กรกฎาคม 2569 — ซื้อวันที่ 21 ก.ค. 69 เวลา 21:14-21:20 น.</t>
        </is>
      </c>
    </row>
    <row r="192">
      <c r="B192" s="153" t="inlineStr">
        <is>
          <t>ITX-00187</t>
        </is>
      </c>
      <c r="C192" s="144" t="n">
        <v>46224</v>
      </c>
      <c r="D192" s="158" t="inlineStr">
        <is>
          <t>PRCT</t>
        </is>
      </c>
      <c r="E192" s="137" t="inlineStr">
        <is>
          <t>US</t>
        </is>
      </c>
      <c r="F192" s="137" t="inlineStr">
        <is>
          <t>Buy</t>
        </is>
      </c>
      <c r="G192" s="156" t="n">
        <v>0.5569620253164557</v>
      </c>
      <c r="H192" s="157" t="n">
        <v>18.96</v>
      </c>
      <c r="I192" s="137" t="inlineStr">
        <is>
          <t>USD</t>
        </is>
      </c>
      <c r="J192" s="155">
        <f>IFERROR(LOOKUP(2,1/(tblFX[Date]&lt;=[@Date]),tblFX[Rate]),XLOOKUP("CURRENT_FX_USDTHB",tblSettings[Key],tblSettings[Value]))</f>
        <v/>
      </c>
      <c r="K192" s="128">
        <f>G192*H192*J192</f>
        <v/>
      </c>
      <c r="L192" s="146" t="n">
        <v>0</v>
      </c>
      <c r="M192" s="146" t="n">
        <v>10.56</v>
      </c>
      <c r="N192" s="146" t="inlineStr"/>
      <c r="O192" s="142" t="inlineStr">
        <is>
          <t>USA STOCK HIS 2</t>
        </is>
      </c>
      <c r="P192" s="142" t="inlineStr">
        <is>
          <t>กรกฎาคม 2569 — ซื้อวันที่ 21 ก.ค. 69 เวลา 21:14-21:20 น.</t>
        </is>
      </c>
    </row>
    <row r="193">
      <c r="B193" s="153" t="inlineStr">
        <is>
          <t>ITX-00188</t>
        </is>
      </c>
      <c r="C193" s="144" t="n">
        <v>46224</v>
      </c>
      <c r="D193" s="158" t="inlineStr">
        <is>
          <t>SCHD</t>
        </is>
      </c>
      <c r="E193" s="137" t="inlineStr">
        <is>
          <t>US</t>
        </is>
      </c>
      <c r="F193" s="137" t="inlineStr">
        <is>
          <t>Buy</t>
        </is>
      </c>
      <c r="G193" s="156" t="n">
        <v>0.09058192021471272</v>
      </c>
      <c r="H193" s="157" t="n">
        <v>32.788</v>
      </c>
      <c r="I193" s="137" t="inlineStr">
        <is>
          <t>USD</t>
        </is>
      </c>
      <c r="J193" s="155">
        <f>IFERROR(LOOKUP(2,1/(tblFX[Date]&lt;=[@Date]),tblFX[Rate]),XLOOKUP("CURRENT_FX_USDTHB",tblSettings[Key],tblSettings[Value]))</f>
        <v/>
      </c>
      <c r="K193" s="128">
        <f>G193*H193*J193</f>
        <v/>
      </c>
      <c r="L193" s="146" t="n">
        <v>0</v>
      </c>
      <c r="M193" s="146" t="n">
        <v>2.97</v>
      </c>
      <c r="N193" s="146" t="inlineStr"/>
      <c r="O193" s="142" t="inlineStr">
        <is>
          <t>USA STOCK HIS 2</t>
        </is>
      </c>
      <c r="P193" s="142" t="inlineStr">
        <is>
          <t>กรกฎาคม 2569 — ซื้อวันที่ 21 ก.ค. 69 เวลา 21:14-21:20 น.</t>
        </is>
      </c>
    </row>
    <row r="194">
      <c r="B194" s="153" t="inlineStr">
        <is>
          <t>ITX-00189</t>
        </is>
      </c>
      <c r="C194" s="144" t="n">
        <v>46224</v>
      </c>
      <c r="D194" s="158" t="inlineStr">
        <is>
          <t>SCHG</t>
        </is>
      </c>
      <c r="E194" s="137" t="inlineStr">
        <is>
          <t>US</t>
        </is>
      </c>
      <c r="F194" s="137" t="inlineStr">
        <is>
          <t>Buy</t>
        </is>
      </c>
      <c r="G194" s="156" t="n">
        <v>0.08697434696029049</v>
      </c>
      <c r="H194" s="157" t="n">
        <v>34.148</v>
      </c>
      <c r="I194" s="137" t="inlineStr">
        <is>
          <t>USD</t>
        </is>
      </c>
      <c r="J194" s="155">
        <f>IFERROR(LOOKUP(2,1/(tblFX[Date]&lt;=[@Date]),tblFX[Rate]),XLOOKUP("CURRENT_FX_USDTHB",tblSettings[Key],tblSettings[Value]))</f>
        <v/>
      </c>
      <c r="K194" s="128">
        <f>G194*H194*J194</f>
        <v/>
      </c>
      <c r="L194" s="146" t="n">
        <v>0</v>
      </c>
      <c r="M194" s="146" t="n">
        <v>2.97</v>
      </c>
      <c r="N194" s="146" t="inlineStr"/>
      <c r="O194" s="142" t="inlineStr">
        <is>
          <t>USA STOCK HIS 2</t>
        </is>
      </c>
      <c r="P194" s="142" t="inlineStr">
        <is>
          <t>กรกฎาคม 2569 — ซื้อวันที่ 21 ก.ค. 69 เวลา 21:14-21:20 น.</t>
        </is>
      </c>
    </row>
    <row r="195">
      <c r="B195" s="153" t="inlineStr">
        <is>
          <t>ITX-00190</t>
        </is>
      </c>
      <c r="C195" s="144" t="n">
        <v>46224</v>
      </c>
      <c r="D195" s="158" t="inlineStr">
        <is>
          <t>V</t>
        </is>
      </c>
      <c r="E195" s="137" t="inlineStr">
        <is>
          <t>US</t>
        </is>
      </c>
      <c r="F195" s="137" t="inlineStr">
        <is>
          <t>Buy</t>
        </is>
      </c>
      <c r="G195" s="156" t="n">
        <v>0.01247126854611853</v>
      </c>
      <c r="H195" s="157" t="n">
        <v>357.622</v>
      </c>
      <c r="I195" s="137" t="inlineStr">
        <is>
          <t>USD</t>
        </is>
      </c>
      <c r="J195" s="155">
        <f>IFERROR(LOOKUP(2,1/(tblFX[Date]&lt;=[@Date]),tblFX[Rate]),XLOOKUP("CURRENT_FX_USDTHB",tblSettings[Key],tblSettings[Value]))</f>
        <v/>
      </c>
      <c r="K195" s="128">
        <f>G195*H195*J195</f>
        <v/>
      </c>
      <c r="L195" s="146" t="n">
        <v>0</v>
      </c>
      <c r="M195" s="146" t="n">
        <v>4.46</v>
      </c>
      <c r="N195" s="146" t="inlineStr"/>
      <c r="O195" s="142" t="inlineStr">
        <is>
          <t>USA STOCK HIS 2</t>
        </is>
      </c>
      <c r="P195" s="142" t="inlineStr">
        <is>
          <t>กรกฎาคม 2569 — ซื้อวันที่ 21 ก.ค. 69 เวลา 21:14-21:20 น.</t>
        </is>
      </c>
    </row>
    <row r="196">
      <c r="B196" s="153" t="inlineStr">
        <is>
          <t>ITX-00191</t>
        </is>
      </c>
      <c r="C196" s="144" t="n">
        <v>46254</v>
      </c>
      <c r="D196" s="158" t="inlineStr">
        <is>
          <t>AAPL</t>
        </is>
      </c>
      <c r="E196" s="137" t="inlineStr">
        <is>
          <t>US</t>
        </is>
      </c>
      <c r="F196" s="137" t="inlineStr">
        <is>
          <t>Buy</t>
        </is>
      </c>
      <c r="G196" s="156" t="n">
        <v>0.01895183706473948</v>
      </c>
      <c r="H196" s="157" t="n">
        <v>316.592</v>
      </c>
      <c r="I196" s="137" t="inlineStr">
        <is>
          <t>USD</t>
        </is>
      </c>
      <c r="J196" s="155">
        <f>IFERROR(LOOKUP(2,1/(tblFX[Date]&lt;=[@Date]),tblFX[Rate]),XLOOKUP("CURRENT_FX_USDTHB",tblSettings[Key],tblSettings[Value]))</f>
        <v/>
      </c>
      <c r="K196" s="128">
        <f>G196*H196*J196</f>
        <v/>
      </c>
      <c r="L196" s="146" t="n">
        <v>0</v>
      </c>
      <c r="M196" s="146" t="n">
        <v>6</v>
      </c>
      <c r="N196" s="146" t="inlineStr"/>
      <c r="O196" s="142" t="inlineStr">
        <is>
          <t>USA STOCK HIS 2</t>
        </is>
      </c>
      <c r="P196" s="142" t="inlineStr">
        <is>
          <t>20 สิงหาคม 2569 — ซื้อวันที่ 20 ส.ค. 69 เวลา 21:49-21:54 น.</t>
        </is>
      </c>
    </row>
    <row r="197">
      <c r="B197" s="153" t="inlineStr">
        <is>
          <t>ITX-00192</t>
        </is>
      </c>
      <c r="C197" s="144" t="n">
        <v>46254</v>
      </c>
      <c r="D197" s="158" t="inlineStr">
        <is>
          <t>AMPX</t>
        </is>
      </c>
      <c r="E197" s="137" t="inlineStr">
        <is>
          <t>US</t>
        </is>
      </c>
      <c r="F197" s="137" t="inlineStr">
        <is>
          <t>Buy</t>
        </is>
      </c>
      <c r="G197" s="156" t="n">
        <v>1.030624263839812</v>
      </c>
      <c r="H197" s="157" t="n">
        <v>10.188</v>
      </c>
      <c r="I197" s="137" t="inlineStr">
        <is>
          <t>USD</t>
        </is>
      </c>
      <c r="J197" s="155">
        <f>IFERROR(LOOKUP(2,1/(tblFX[Date]&lt;=[@Date]),tblFX[Rate]),XLOOKUP("CURRENT_FX_USDTHB",tblSettings[Key],tblSettings[Value]))</f>
        <v/>
      </c>
      <c r="K197" s="128">
        <f>G197*H197*J197</f>
        <v/>
      </c>
      <c r="L197" s="146" t="n">
        <v>0</v>
      </c>
      <c r="M197" s="146" t="n">
        <v>10.5</v>
      </c>
      <c r="N197" s="146" t="inlineStr"/>
      <c r="O197" s="142" t="inlineStr">
        <is>
          <t>USA STOCK HIS 2</t>
        </is>
      </c>
      <c r="P197" s="142" t="inlineStr">
        <is>
          <t>20 สิงหาคม 2569 — ซื้อวันที่ 20 ส.ค. 69 เวลา 21:49-21:54 น.</t>
        </is>
      </c>
    </row>
    <row r="198">
      <c r="B198" s="153" t="inlineStr">
        <is>
          <t>ITX-00193</t>
        </is>
      </c>
      <c r="C198" s="144" t="n">
        <v>46254</v>
      </c>
      <c r="D198" s="158" t="inlineStr">
        <is>
          <t>AMZN</t>
        </is>
      </c>
      <c r="E198" s="137" t="inlineStr">
        <is>
          <t>US</t>
        </is>
      </c>
      <c r="F198" s="137" t="inlineStr">
        <is>
          <t>Buy</t>
        </is>
      </c>
      <c r="G198" s="156" t="n">
        <v>0.02869780825272438</v>
      </c>
      <c r="H198" s="157" t="n">
        <v>261.344</v>
      </c>
      <c r="I198" s="137" t="inlineStr">
        <is>
          <t>USD</t>
        </is>
      </c>
      <c r="J198" s="155">
        <f>IFERROR(LOOKUP(2,1/(tblFX[Date]&lt;=[@Date]),tblFX[Rate]),XLOOKUP("CURRENT_FX_USDTHB",tblSettings[Key],tblSettings[Value]))</f>
        <v/>
      </c>
      <c r="K198" s="128">
        <f>G198*H198*J198</f>
        <v/>
      </c>
      <c r="L198" s="146" t="n">
        <v>0</v>
      </c>
      <c r="M198" s="146" t="n">
        <v>7.5</v>
      </c>
      <c r="N198" s="146" t="inlineStr"/>
      <c r="O198" s="142" t="inlineStr">
        <is>
          <t>USA STOCK HIS 2</t>
        </is>
      </c>
      <c r="P198" s="142" t="inlineStr">
        <is>
          <t>20 สิงหาคม 2569 — ซื้อวันที่ 20 ส.ค. 69 เวลา 21:49-21:54 น.</t>
        </is>
      </c>
    </row>
    <row r="199">
      <c r="B199" s="153" t="inlineStr">
        <is>
          <t>ITX-00194</t>
        </is>
      </c>
      <c r="C199" s="144" t="n">
        <v>46254</v>
      </c>
      <c r="D199" s="158" t="inlineStr">
        <is>
          <t>BEPC</t>
        </is>
      </c>
      <c r="E199" s="137" t="inlineStr">
        <is>
          <t>US</t>
        </is>
      </c>
      <c r="F199" s="137" t="inlineStr">
        <is>
          <t>Buy</t>
        </is>
      </c>
      <c r="G199" s="156" t="n">
        <v>0.1778937381404175</v>
      </c>
      <c r="H199" s="157" t="n">
        <v>33.728</v>
      </c>
      <c r="I199" s="137" t="inlineStr">
        <is>
          <t>USD</t>
        </is>
      </c>
      <c r="J199" s="155">
        <f>IFERROR(LOOKUP(2,1/(tblFX[Date]&lt;=[@Date]),tblFX[Rate]),XLOOKUP("CURRENT_FX_USDTHB",tblSettings[Key],tblSettings[Value]))</f>
        <v/>
      </c>
      <c r="K199" s="128">
        <f>G199*H199*J199</f>
        <v/>
      </c>
      <c r="L199" s="146" t="n">
        <v>0</v>
      </c>
      <c r="M199" s="146" t="n">
        <v>6</v>
      </c>
      <c r="N199" s="146" t="inlineStr"/>
      <c r="O199" s="142" t="inlineStr">
        <is>
          <t>USA STOCK HIS 2</t>
        </is>
      </c>
      <c r="P199" s="142" t="inlineStr">
        <is>
          <t>20 สิงหาคม 2569 — ซื้อวันที่ 20 ส.ค. 69 เวลา 21:49-21:54 น.</t>
        </is>
      </c>
    </row>
    <row r="200">
      <c r="B200" s="153" t="inlineStr">
        <is>
          <t>ITX-00195</t>
        </is>
      </c>
      <c r="C200" s="144" t="n">
        <v>46254</v>
      </c>
      <c r="D200" s="158" t="inlineStr">
        <is>
          <t>GOOGL</t>
        </is>
      </c>
      <c r="E200" s="137" t="inlineStr">
        <is>
          <t>US</t>
        </is>
      </c>
      <c r="F200" s="137" t="inlineStr">
        <is>
          <t>Buy</t>
        </is>
      </c>
      <c r="G200" s="156" t="n">
        <v>0.0263421316052895</v>
      </c>
      <c r="H200" s="157" t="n">
        <v>341.658</v>
      </c>
      <c r="I200" s="137" t="inlineStr">
        <is>
          <t>USD</t>
        </is>
      </c>
      <c r="J200" s="155">
        <f>IFERROR(LOOKUP(2,1/(tblFX[Date]&lt;=[@Date]),tblFX[Rate]),XLOOKUP("CURRENT_FX_USDTHB",tblSettings[Key],tblSettings[Value]))</f>
        <v/>
      </c>
      <c r="K200" s="128">
        <f>G200*H200*J200</f>
        <v/>
      </c>
      <c r="L200" s="146" t="n">
        <v>0</v>
      </c>
      <c r="M200" s="146" t="n">
        <v>9</v>
      </c>
      <c r="N200" s="146" t="inlineStr"/>
      <c r="O200" s="142" t="inlineStr">
        <is>
          <t>USA STOCK HIS 2</t>
        </is>
      </c>
      <c r="P200" s="142" t="inlineStr">
        <is>
          <t>20 สิงหาคม 2569 — ซื้อวันที่ 20 ส.ค. 69 เวลา 21:49-21:54 น.</t>
        </is>
      </c>
    </row>
    <row r="201">
      <c r="B201" s="153" t="inlineStr">
        <is>
          <t>ITX-00196</t>
        </is>
      </c>
      <c r="C201" s="144" t="n">
        <v>46254</v>
      </c>
      <c r="D201" s="158" t="inlineStr">
        <is>
          <t>LLY</t>
        </is>
      </c>
      <c r="E201" s="137" t="inlineStr">
        <is>
          <t>US</t>
        </is>
      </c>
      <c r="F201" s="137" t="inlineStr">
        <is>
          <t>Buy</t>
        </is>
      </c>
      <c r="G201" s="156" t="n">
        <v>0.003567849395527027</v>
      </c>
      <c r="H201" s="157" t="n">
        <v>1261.264</v>
      </c>
      <c r="I201" s="137" t="inlineStr">
        <is>
          <t>USD</t>
        </is>
      </c>
      <c r="J201" s="155">
        <f>IFERROR(LOOKUP(2,1/(tblFX[Date]&lt;=[@Date]),tblFX[Rate]),XLOOKUP("CURRENT_FX_USDTHB",tblSettings[Key],tblSettings[Value]))</f>
        <v/>
      </c>
      <c r="K201" s="128">
        <f>G201*H201*J201</f>
        <v/>
      </c>
      <c r="L201" s="146" t="n">
        <v>0</v>
      </c>
      <c r="M201" s="146" t="n">
        <v>4.5</v>
      </c>
      <c r="N201" s="146" t="inlineStr"/>
      <c r="O201" s="142" t="inlineStr">
        <is>
          <t>USA STOCK HIS 2</t>
        </is>
      </c>
      <c r="P201" s="142" t="inlineStr">
        <is>
          <t>20 สิงหาคม 2569 — ซื้อวันที่ 20 ส.ค. 69 เวลา 21:49-21:54 น.</t>
        </is>
      </c>
    </row>
    <row r="202">
      <c r="B202" s="153" t="inlineStr">
        <is>
          <t>ITX-00197</t>
        </is>
      </c>
      <c r="C202" s="144" t="n">
        <v>46254</v>
      </c>
      <c r="D202" s="158" t="inlineStr">
        <is>
          <t>META</t>
        </is>
      </c>
      <c r="E202" s="137" t="inlineStr">
        <is>
          <t>US</t>
        </is>
      </c>
      <c r="F202" s="137" t="inlineStr">
        <is>
          <t>Buy</t>
        </is>
      </c>
      <c r="G202" s="156" t="n">
        <v>0.0165006820281905</v>
      </c>
      <c r="H202" s="157" t="n">
        <v>545.432</v>
      </c>
      <c r="I202" s="137" t="inlineStr">
        <is>
          <t>USD</t>
        </is>
      </c>
      <c r="J202" s="155">
        <f>IFERROR(LOOKUP(2,1/(tblFX[Date]&lt;=[@Date]),tblFX[Rate]),XLOOKUP("CURRENT_FX_USDTHB",tblSettings[Key],tblSettings[Value]))</f>
        <v/>
      </c>
      <c r="K202" s="128">
        <f>G202*H202*J202</f>
        <v/>
      </c>
      <c r="L202" s="146" t="n">
        <v>0</v>
      </c>
      <c r="M202" s="146" t="n">
        <v>9</v>
      </c>
      <c r="N202" s="146" t="inlineStr"/>
      <c r="O202" s="142" t="inlineStr">
        <is>
          <t>USA STOCK HIS 2</t>
        </is>
      </c>
      <c r="P202" s="142" t="inlineStr">
        <is>
          <t>20 สิงหาคม 2569 — ซื้อวันที่ 20 ส.ค. 69 เวลา 21:49-21:54 น.</t>
        </is>
      </c>
    </row>
    <row r="203">
      <c r="B203" s="153" t="inlineStr">
        <is>
          <t>ITX-00198</t>
        </is>
      </c>
      <c r="C203" s="144" t="n">
        <v>46254</v>
      </c>
      <c r="D203" s="158" t="inlineStr">
        <is>
          <t>MSFT</t>
        </is>
      </c>
      <c r="E203" s="137" t="inlineStr">
        <is>
          <t>US</t>
        </is>
      </c>
      <c r="F203" s="137" t="inlineStr">
        <is>
          <t>Buy</t>
        </is>
      </c>
      <c r="G203" s="156" t="n">
        <v>0.01246882793017456</v>
      </c>
      <c r="H203" s="157" t="n">
        <v>481.2</v>
      </c>
      <c r="I203" s="137" t="inlineStr">
        <is>
          <t>USD</t>
        </is>
      </c>
      <c r="J203" s="155">
        <f>IFERROR(LOOKUP(2,1/(tblFX[Date]&lt;=[@Date]),tblFX[Rate]),XLOOKUP("CURRENT_FX_USDTHB",tblSettings[Key],tblSettings[Value]))</f>
        <v/>
      </c>
      <c r="K203" s="128">
        <f>G203*H203*J203</f>
        <v/>
      </c>
      <c r="L203" s="146" t="n">
        <v>0</v>
      </c>
      <c r="M203" s="146" t="n">
        <v>6</v>
      </c>
      <c r="N203" s="146" t="inlineStr"/>
      <c r="O203" s="142" t="inlineStr">
        <is>
          <t>USA STOCK HIS 2</t>
        </is>
      </c>
      <c r="P203" s="142" t="inlineStr">
        <is>
          <t>20 สิงหาคม 2569 — ซื้อวันที่ 20 ส.ค. 69 เวลา 21:49-21:54 น.</t>
        </is>
      </c>
    </row>
    <row r="204">
      <c r="B204" s="153" t="inlineStr">
        <is>
          <t>ITX-00199</t>
        </is>
      </c>
      <c r="C204" s="144" t="n">
        <v>46254</v>
      </c>
      <c r="D204" s="158" t="inlineStr">
        <is>
          <t>MTS-GOLD</t>
        </is>
      </c>
      <c r="E204" s="137" t="inlineStr">
        <is>
          <t>Commodity</t>
        </is>
      </c>
      <c r="F204" s="137" t="inlineStr">
        <is>
          <t>Sell</t>
        </is>
      </c>
      <c r="G204" s="156" t="n">
        <v>0.0477</v>
      </c>
      <c r="H204" s="157" t="n">
        <v>4498.43</v>
      </c>
      <c r="I204" s="137" t="inlineStr">
        <is>
          <t>USD</t>
        </is>
      </c>
      <c r="J204" s="155">
        <f>IFERROR(LOOKUP(2,1/(tblFX[Date]&lt;=[@Date]),tblFX[Rate]),XLOOKUP("CURRENT_FX_USDTHB",tblSettings[Key],tblSettings[Value]))</f>
        <v/>
      </c>
      <c r="K204" s="128">
        <f>G204*H204*J204</f>
        <v/>
      </c>
      <c r="L204" s="146" t="n">
        <v>0</v>
      </c>
      <c r="M204" s="146" t="n">
        <v>208.8979</v>
      </c>
      <c r="N204" s="146" t="n">
        <v>5.6772</v>
      </c>
      <c r="O204" s="142" t="inlineStr">
        <is>
          <t>Dime app IMG_7097-7102</t>
        </is>
      </c>
      <c r="P204" s="142" t="inlineStr"/>
    </row>
    <row r="205">
      <c r="B205" s="153" t="inlineStr">
        <is>
          <t>ITX-00200</t>
        </is>
      </c>
      <c r="C205" s="144" t="n">
        <v>46254</v>
      </c>
      <c r="D205" s="158" t="inlineStr">
        <is>
          <t>NVDA</t>
        </is>
      </c>
      <c r="E205" s="137" t="inlineStr">
        <is>
          <t>US</t>
        </is>
      </c>
      <c r="F205" s="137" t="inlineStr">
        <is>
          <t>Buy</t>
        </is>
      </c>
      <c r="G205" s="156" t="n">
        <v>0.04820848101963233</v>
      </c>
      <c r="H205" s="157" t="n">
        <v>217.804</v>
      </c>
      <c r="I205" s="137" t="inlineStr">
        <is>
          <t>USD</t>
        </is>
      </c>
      <c r="J205" s="155">
        <f>IFERROR(LOOKUP(2,1/(tblFX[Date]&lt;=[@Date]),tblFX[Rate]),XLOOKUP("CURRENT_FX_USDTHB",tblSettings[Key],tblSettings[Value]))</f>
        <v/>
      </c>
      <c r="K205" s="128">
        <f>G205*H205*J205</f>
        <v/>
      </c>
      <c r="L205" s="146" t="n">
        <v>0</v>
      </c>
      <c r="M205" s="146" t="n">
        <v>10.5</v>
      </c>
      <c r="N205" s="146" t="inlineStr"/>
      <c r="O205" s="142" t="inlineStr">
        <is>
          <t>USA STOCK HIS 2</t>
        </is>
      </c>
      <c r="P205" s="142" t="inlineStr">
        <is>
          <t>20 สิงหาคม 2569 — ซื้อวันที่ 20 ส.ค. 69 เวลา 21:49-21:54 น.</t>
        </is>
      </c>
    </row>
    <row r="206">
      <c r="B206" s="153" t="inlineStr">
        <is>
          <t>ITX-00201</t>
        </is>
      </c>
      <c r="C206" s="144" t="n">
        <v>46254</v>
      </c>
      <c r="D206" s="158" t="inlineStr">
        <is>
          <t>PRCT</t>
        </is>
      </c>
      <c r="E206" s="137" t="inlineStr">
        <is>
          <t>US</t>
        </is>
      </c>
      <c r="F206" s="137" t="inlineStr">
        <is>
          <t>Buy</t>
        </is>
      </c>
      <c r="G206" s="156" t="n">
        <v>0.3472543754051301</v>
      </c>
      <c r="H206" s="157" t="n">
        <v>21.598</v>
      </c>
      <c r="I206" s="137" t="inlineStr">
        <is>
          <t>USD</t>
        </is>
      </c>
      <c r="J206" s="155">
        <f>IFERROR(LOOKUP(2,1/(tblFX[Date]&lt;=[@Date]),tblFX[Rate]),XLOOKUP("CURRENT_FX_USDTHB",tblSettings[Key],tblSettings[Value]))</f>
        <v/>
      </c>
      <c r="K206" s="128">
        <f>G206*H206*J206</f>
        <v/>
      </c>
      <c r="L206" s="146" t="n">
        <v>0</v>
      </c>
      <c r="M206" s="146" t="n">
        <v>7.5</v>
      </c>
      <c r="N206" s="146" t="inlineStr"/>
      <c r="O206" s="142" t="inlineStr">
        <is>
          <t>USA STOCK HIS 2</t>
        </is>
      </c>
      <c r="P206" s="142" t="inlineStr">
        <is>
          <t>20 สิงหาคม 2569 — ซื้อวันที่ 20 ส.ค. 69 เวลา 21:49-21:54 น.</t>
        </is>
      </c>
    </row>
    <row r="207">
      <c r="B207" s="153" t="inlineStr">
        <is>
          <t>ITX-00202</t>
        </is>
      </c>
      <c r="C207" s="144" t="n">
        <v>46254</v>
      </c>
      <c r="D207" s="158" t="inlineStr">
        <is>
          <t>SCHD</t>
        </is>
      </c>
      <c r="E207" s="137" t="inlineStr">
        <is>
          <t>US</t>
        </is>
      </c>
      <c r="F207" s="137" t="inlineStr">
        <is>
          <t>Buy</t>
        </is>
      </c>
      <c r="G207" s="156" t="n">
        <v>0.08571918395336876</v>
      </c>
      <c r="H207" s="157" t="n">
        <v>34.998</v>
      </c>
      <c r="I207" s="137" t="inlineStr">
        <is>
          <t>USD</t>
        </is>
      </c>
      <c r="J207" s="155">
        <f>IFERROR(LOOKUP(2,1/(tblFX[Date]&lt;=[@Date]),tblFX[Rate]),XLOOKUP("CURRENT_FX_USDTHB",tblSettings[Key],tblSettings[Value]))</f>
        <v/>
      </c>
      <c r="K207" s="128">
        <f>G207*H207*J207</f>
        <v/>
      </c>
      <c r="L207" s="146" t="n">
        <v>0</v>
      </c>
      <c r="M207" s="146" t="n">
        <v>3</v>
      </c>
      <c r="N207" s="146" t="inlineStr"/>
      <c r="O207" s="142" t="inlineStr">
        <is>
          <t>USA STOCK HIS 2</t>
        </is>
      </c>
      <c r="P207" s="142" t="inlineStr">
        <is>
          <t>20 สิงหาคม 2569 — ซื้อวันที่ 20 ส.ค. 69 เวลา 21:49-21:54 น.</t>
        </is>
      </c>
    </row>
    <row r="208">
      <c r="B208" s="153" t="inlineStr">
        <is>
          <t>ITX-00203</t>
        </is>
      </c>
      <c r="C208" s="144" t="n">
        <v>46254</v>
      </c>
      <c r="D208" s="158" t="inlineStr">
        <is>
          <t>SCHG</t>
        </is>
      </c>
      <c r="E208" s="137" t="inlineStr">
        <is>
          <t>US</t>
        </is>
      </c>
      <c r="F208" s="137" t="inlineStr">
        <is>
          <t>Buy</t>
        </is>
      </c>
      <c r="G208" s="156" t="n">
        <v>0.08499065102838688</v>
      </c>
      <c r="H208" s="157" t="n">
        <v>35.298</v>
      </c>
      <c r="I208" s="137" t="inlineStr">
        <is>
          <t>USD</t>
        </is>
      </c>
      <c r="J208" s="155">
        <f>IFERROR(LOOKUP(2,1/(tblFX[Date]&lt;=[@Date]),tblFX[Rate]),XLOOKUP("CURRENT_FX_USDTHB",tblSettings[Key],tblSettings[Value]))</f>
        <v/>
      </c>
      <c r="K208" s="128">
        <f>G208*H208*J208</f>
        <v/>
      </c>
      <c r="L208" s="146" t="n">
        <v>0</v>
      </c>
      <c r="M208" s="146" t="n">
        <v>3</v>
      </c>
      <c r="N208" s="146" t="inlineStr"/>
      <c r="O208" s="142" t="inlineStr">
        <is>
          <t>USA STOCK HIS 2</t>
        </is>
      </c>
      <c r="P208" s="142" t="inlineStr">
        <is>
          <t>20 สิงหาคม 2569 — ซื้อวันที่ 20 ส.ค. 69 เวลา 21:49-21:54 น.</t>
        </is>
      </c>
    </row>
    <row r="209">
      <c r="B209" s="153" t="inlineStr">
        <is>
          <t>ITX-00204</t>
        </is>
      </c>
      <c r="C209" s="144" t="n">
        <v>46254</v>
      </c>
      <c r="D209" s="158" t="inlineStr">
        <is>
          <t>V</t>
        </is>
      </c>
      <c r="E209" s="137" t="inlineStr">
        <is>
          <t>US</t>
        </is>
      </c>
      <c r="F209" s="137" t="inlineStr">
        <is>
          <t>Buy</t>
        </is>
      </c>
      <c r="G209" s="156" t="n">
        <v>0.02038963227977838</v>
      </c>
      <c r="H209" s="157" t="n">
        <v>367.834</v>
      </c>
      <c r="I209" s="137" t="inlineStr">
        <is>
          <t>USD</t>
        </is>
      </c>
      <c r="J209" s="155">
        <f>IFERROR(LOOKUP(2,1/(tblFX[Date]&lt;=[@Date]),tblFX[Rate]),XLOOKUP("CURRENT_FX_USDTHB",tblSettings[Key],tblSettings[Value]))</f>
        <v/>
      </c>
      <c r="K209" s="128">
        <f>G209*H209*J209</f>
        <v/>
      </c>
      <c r="L209" s="146" t="n">
        <v>0</v>
      </c>
      <c r="M209" s="146" t="n">
        <v>7.5</v>
      </c>
      <c r="N209" s="146" t="inlineStr"/>
      <c r="O209" s="142" t="inlineStr">
        <is>
          <t>USA STOCK HIS 2</t>
        </is>
      </c>
      <c r="P209" s="142" t="inlineStr">
        <is>
          <t>20 สิงหาคม 2569 — ซื้อวันที่ 20 ส.ค. 69 เวลา 21:49-21:54 น.</t>
        </is>
      </c>
    </row>
    <row r="210">
      <c r="B210" s="153" t="inlineStr">
        <is>
          <t>ITX-00205</t>
        </is>
      </c>
      <c r="C210" s="144" t="n">
        <v>46266</v>
      </c>
      <c r="D210" s="158" t="inlineStr">
        <is>
          <t>AAPL</t>
        </is>
      </c>
      <c r="E210" s="137" t="inlineStr">
        <is>
          <t>US</t>
        </is>
      </c>
      <c r="F210" s="137" t="inlineStr">
        <is>
          <t>Buy</t>
        </is>
      </c>
      <c r="G210" s="156" t="n">
        <v>0.02244275560146585</v>
      </c>
      <c r="H210" s="157" t="n">
        <v>325.272</v>
      </c>
      <c r="I210" s="137" t="inlineStr">
        <is>
          <t>USD</t>
        </is>
      </c>
      <c r="J210" s="155">
        <f>IFERROR(LOOKUP(2,1/(tblFX[Date]&lt;=[@Date]),tblFX[Rate]),XLOOKUP("CURRENT_FX_USDTHB",tblSettings[Key],tblSettings[Value]))</f>
        <v/>
      </c>
      <c r="K210" s="128">
        <f>G210*H210*J210</f>
        <v/>
      </c>
      <c r="L210" s="146" t="n">
        <v>0</v>
      </c>
      <c r="M210" s="146" t="n">
        <v>7.3</v>
      </c>
      <c r="N210" s="146" t="inlineStr"/>
      <c r="O210" s="142" t="inlineStr">
        <is>
          <t>USA STOCK HIS 2</t>
        </is>
      </c>
      <c r="P210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11">
      <c r="B211" s="153" t="inlineStr">
        <is>
          <t>ITX-00206</t>
        </is>
      </c>
      <c r="C211" s="144" t="n">
        <v>46266</v>
      </c>
      <c r="D211" s="158" t="inlineStr">
        <is>
          <t>AMPX</t>
        </is>
      </c>
      <c r="E211" s="137" t="inlineStr">
        <is>
          <t>US</t>
        </is>
      </c>
      <c r="F211" s="137" t="inlineStr">
        <is>
          <t>Buy</t>
        </is>
      </c>
      <c r="G211" s="156" t="n">
        <v>2.096919625070771</v>
      </c>
      <c r="H211" s="157" t="n">
        <v>9.537800000000001</v>
      </c>
      <c r="I211" s="137" t="inlineStr">
        <is>
          <t>USD</t>
        </is>
      </c>
      <c r="J211" s="155">
        <f>IFERROR(LOOKUP(2,1/(tblFX[Date]&lt;=[@Date]),tblFX[Rate]),XLOOKUP("CURRENT_FX_USDTHB",tblSettings[Key],tblSettings[Value]))</f>
        <v/>
      </c>
      <c r="K211" s="128">
        <f>G211*H211*J211</f>
        <v/>
      </c>
      <c r="L211" s="146" t="n">
        <v>0</v>
      </c>
      <c r="M211" s="146" t="n">
        <v>20</v>
      </c>
      <c r="N211" s="146" t="inlineStr"/>
      <c r="O211" s="142" t="inlineStr">
        <is>
          <t>USA STOCK HIS 2</t>
        </is>
      </c>
      <c r="P211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12">
      <c r="B212" s="153" t="inlineStr">
        <is>
          <t>ITX-00207</t>
        </is>
      </c>
      <c r="C212" s="144" t="n">
        <v>46266</v>
      </c>
      <c r="D212" s="158" t="inlineStr">
        <is>
          <t>AMZN</t>
        </is>
      </c>
      <c r="E212" s="137" t="inlineStr">
        <is>
          <t>US</t>
        </is>
      </c>
      <c r="F212" s="137" t="inlineStr">
        <is>
          <t>Buy</t>
        </is>
      </c>
      <c r="G212" s="156" t="n">
        <v>0.02865239541875672</v>
      </c>
      <c r="H212" s="157" t="n">
        <v>254.778</v>
      </c>
      <c r="I212" s="137" t="inlineStr">
        <is>
          <t>USD</t>
        </is>
      </c>
      <c r="J212" s="155">
        <f>IFERROR(LOOKUP(2,1/(tblFX[Date]&lt;=[@Date]),tblFX[Rate]),XLOOKUP("CURRENT_FX_USDTHB",tblSettings[Key],tblSettings[Value]))</f>
        <v/>
      </c>
      <c r="K212" s="128">
        <f>G212*H212*J212</f>
        <v/>
      </c>
      <c r="L212" s="146" t="n">
        <v>0</v>
      </c>
      <c r="M212" s="146" t="n">
        <v>7.3</v>
      </c>
      <c r="N212" s="146" t="inlineStr"/>
      <c r="O212" s="142" t="inlineStr">
        <is>
          <t>USA STOCK HIS 2</t>
        </is>
      </c>
      <c r="P212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13">
      <c r="B213" s="153" t="inlineStr">
        <is>
          <t>ITX-00208</t>
        </is>
      </c>
      <c r="C213" s="144" t="n">
        <v>46266</v>
      </c>
      <c r="D213" s="158" t="inlineStr">
        <is>
          <t>BEPC</t>
        </is>
      </c>
      <c r="E213" s="137" t="inlineStr">
        <is>
          <t>US</t>
        </is>
      </c>
      <c r="F213" s="137" t="inlineStr">
        <is>
          <t>Buy</t>
        </is>
      </c>
      <c r="G213" s="156" t="n">
        <v>0.1832890911389205</v>
      </c>
      <c r="H213" s="157" t="n">
        <v>31.644</v>
      </c>
      <c r="I213" s="137" t="inlineStr">
        <is>
          <t>USD</t>
        </is>
      </c>
      <c r="J213" s="155">
        <f>IFERROR(LOOKUP(2,1/(tblFX[Date]&lt;=[@Date]),tblFX[Rate]),XLOOKUP("CURRENT_FX_USDTHB",tblSettings[Key],tblSettings[Value]))</f>
        <v/>
      </c>
      <c r="K213" s="128">
        <f>G213*H213*J213</f>
        <v/>
      </c>
      <c r="L213" s="146" t="n">
        <v>0</v>
      </c>
      <c r="M213" s="146" t="n">
        <v>5.8</v>
      </c>
      <c r="N213" s="146" t="inlineStr"/>
      <c r="O213" s="142" t="inlineStr">
        <is>
          <t>USA STOCK HIS 2</t>
        </is>
      </c>
      <c r="P213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14">
      <c r="B214" s="153" t="inlineStr">
        <is>
          <t>ITX-00209</t>
        </is>
      </c>
      <c r="C214" s="144" t="n">
        <v>46266</v>
      </c>
      <c r="D214" s="158" t="inlineStr">
        <is>
          <t>GOOGL</t>
        </is>
      </c>
      <c r="E214" s="137" t="inlineStr">
        <is>
          <t>US</t>
        </is>
      </c>
      <c r="F214" s="137" t="inlineStr">
        <is>
          <t>Buy</t>
        </is>
      </c>
      <c r="G214" s="156" t="n">
        <v>0.0216798626744041</v>
      </c>
      <c r="H214" s="157" t="n">
        <v>336.718</v>
      </c>
      <c r="I214" s="137" t="inlineStr">
        <is>
          <t>USD</t>
        </is>
      </c>
      <c r="J214" s="155">
        <f>IFERROR(LOOKUP(2,1/(tblFX[Date]&lt;=[@Date]),tblFX[Rate]),XLOOKUP("CURRENT_FX_USDTHB",tblSettings[Key],tblSettings[Value]))</f>
        <v/>
      </c>
      <c r="K214" s="128">
        <f>G214*H214*J214</f>
        <v/>
      </c>
      <c r="L214" s="146" t="n">
        <v>0</v>
      </c>
      <c r="M214" s="146" t="n">
        <v>7.3</v>
      </c>
      <c r="N214" s="146" t="inlineStr"/>
      <c r="O214" s="142" t="inlineStr">
        <is>
          <t>USA STOCK HIS 2</t>
        </is>
      </c>
      <c r="P214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15">
      <c r="B215" s="153" t="inlineStr">
        <is>
          <t>ITX-00210</t>
        </is>
      </c>
      <c r="C215" s="144" t="n">
        <v>46266</v>
      </c>
      <c r="D215" s="158" t="inlineStr">
        <is>
          <t>LLY</t>
        </is>
      </c>
      <c r="E215" s="137" t="inlineStr">
        <is>
          <t>US</t>
        </is>
      </c>
      <c r="F215" s="137" t="inlineStr">
        <is>
          <t>Buy</t>
        </is>
      </c>
      <c r="G215" s="156" t="n">
        <v>0.003685981782677942</v>
      </c>
      <c r="H215" s="157" t="n">
        <v>1166.582</v>
      </c>
      <c r="I215" s="137" t="inlineStr">
        <is>
          <t>USD</t>
        </is>
      </c>
      <c r="J215" s="155">
        <f>IFERROR(LOOKUP(2,1/(tblFX[Date]&lt;=[@Date]),tblFX[Rate]),XLOOKUP("CURRENT_FX_USDTHB",tblSettings[Key],tblSettings[Value]))</f>
        <v/>
      </c>
      <c r="K215" s="128">
        <f>G215*H215*J215</f>
        <v/>
      </c>
      <c r="L215" s="146" t="n">
        <v>0</v>
      </c>
      <c r="M215" s="146" t="n">
        <v>4.3</v>
      </c>
      <c r="N215" s="146" t="inlineStr"/>
      <c r="O215" s="142" t="inlineStr">
        <is>
          <t>USA STOCK HIS 2</t>
        </is>
      </c>
      <c r="P215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16">
      <c r="B216" s="153" t="inlineStr">
        <is>
          <t>ITX-00211</t>
        </is>
      </c>
      <c r="C216" s="144" t="n">
        <v>46266</v>
      </c>
      <c r="D216" s="158" t="inlineStr">
        <is>
          <t>META</t>
        </is>
      </c>
      <c r="E216" s="137" t="inlineStr">
        <is>
          <t>US</t>
        </is>
      </c>
      <c r="F216" s="137" t="inlineStr">
        <is>
          <t>Buy</t>
        </is>
      </c>
      <c r="G216" s="156" t="n">
        <v>0.02108204924487933</v>
      </c>
      <c r="H216" s="157" t="n">
        <v>573.948</v>
      </c>
      <c r="I216" s="137" t="inlineStr">
        <is>
          <t>USD</t>
        </is>
      </c>
      <c r="J216" s="155">
        <f>IFERROR(LOOKUP(2,1/(tblFX[Date]&lt;=[@Date]),tblFX[Rate]),XLOOKUP("CURRENT_FX_USDTHB",tblSettings[Key],tblSettings[Value]))</f>
        <v/>
      </c>
      <c r="K216" s="128">
        <f>G216*H216*J216</f>
        <v/>
      </c>
      <c r="L216" s="146" t="n">
        <v>0</v>
      </c>
      <c r="M216" s="146" t="n">
        <v>12.1</v>
      </c>
      <c r="N216" s="146" t="inlineStr"/>
      <c r="O216" s="142" t="inlineStr">
        <is>
          <t>USA STOCK HIS 2</t>
        </is>
      </c>
      <c r="P216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17">
      <c r="B217" s="153" t="inlineStr">
        <is>
          <t>ITX-00212</t>
        </is>
      </c>
      <c r="C217" s="144" t="n">
        <v>46266</v>
      </c>
      <c r="D217" s="158" t="inlineStr">
        <is>
          <t>MSFT</t>
        </is>
      </c>
      <c r="E217" s="137" t="inlineStr">
        <is>
          <t>US</t>
        </is>
      </c>
      <c r="F217" s="137" t="inlineStr">
        <is>
          <t>Buy</t>
        </is>
      </c>
      <c r="G217" s="156" t="n">
        <v>0.01448475925536432</v>
      </c>
      <c r="H217" s="157" t="n">
        <v>503.978</v>
      </c>
      <c r="I217" s="137" t="inlineStr">
        <is>
          <t>USD</t>
        </is>
      </c>
      <c r="J217" s="155">
        <f>IFERROR(LOOKUP(2,1/(tblFX[Date]&lt;=[@Date]),tblFX[Rate]),XLOOKUP("CURRENT_FX_USDTHB",tblSettings[Key],tblSettings[Value]))</f>
        <v/>
      </c>
      <c r="K217" s="128">
        <f>G217*H217*J217</f>
        <v/>
      </c>
      <c r="L217" s="146" t="n">
        <v>0</v>
      </c>
      <c r="M217" s="146" t="n">
        <v>7.3</v>
      </c>
      <c r="N217" s="146" t="inlineStr"/>
      <c r="O217" s="142" t="inlineStr">
        <is>
          <t>USA STOCK HIS 2</t>
        </is>
      </c>
      <c r="P217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18">
      <c r="B218" s="153" t="inlineStr">
        <is>
          <t>ITX-00213</t>
        </is>
      </c>
      <c r="C218" s="144" t="n">
        <v>46266</v>
      </c>
      <c r="D218" s="158" t="inlineStr">
        <is>
          <t>NVDA</t>
        </is>
      </c>
      <c r="E218" s="137" t="inlineStr">
        <is>
          <t>US</t>
        </is>
      </c>
      <c r="F218" s="137" t="inlineStr">
        <is>
          <t>Buy</t>
        </is>
      </c>
      <c r="G218" s="156" t="n">
        <v>0.04815762679215169</v>
      </c>
      <c r="H218" s="157" t="n">
        <v>218.034</v>
      </c>
      <c r="I218" s="137" t="inlineStr">
        <is>
          <t>USD</t>
        </is>
      </c>
      <c r="J218" s="155">
        <f>IFERROR(LOOKUP(2,1/(tblFX[Date]&lt;=[@Date]),tblFX[Rate]),XLOOKUP("CURRENT_FX_USDTHB",tblSettings[Key],tblSettings[Value]))</f>
        <v/>
      </c>
      <c r="K218" s="128">
        <f>G218*H218*J218</f>
        <v/>
      </c>
      <c r="L218" s="146" t="n">
        <v>0</v>
      </c>
      <c r="M218" s="146" t="n">
        <v>10.5</v>
      </c>
      <c r="N218" s="146" t="inlineStr"/>
      <c r="O218" s="142" t="inlineStr">
        <is>
          <t>USA STOCK HIS 2</t>
        </is>
      </c>
      <c r="P218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19">
      <c r="B219" s="153" t="inlineStr">
        <is>
          <t>ITX-00214</t>
        </is>
      </c>
      <c r="C219" s="144" t="n">
        <v>46266</v>
      </c>
      <c r="D219" s="158" t="inlineStr">
        <is>
          <t>PRCT</t>
        </is>
      </c>
      <c r="E219" s="137" t="inlineStr">
        <is>
          <t>US</t>
        </is>
      </c>
      <c r="F219" s="137" t="inlineStr">
        <is>
          <t>Buy</t>
        </is>
      </c>
      <c r="G219" s="156" t="n">
        <v>0.2074488614434581</v>
      </c>
      <c r="H219" s="157" t="n">
        <v>20.728</v>
      </c>
      <c r="I219" s="137" t="inlineStr">
        <is>
          <t>USD</t>
        </is>
      </c>
      <c r="J219" s="155">
        <f>IFERROR(LOOKUP(2,1/(tblFX[Date]&lt;=[@Date]),tblFX[Rate]),XLOOKUP("CURRENT_FX_USDTHB",tblSettings[Key],tblSettings[Value]))</f>
        <v/>
      </c>
      <c r="K219" s="128">
        <f>G219*H219*J219</f>
        <v/>
      </c>
      <c r="L219" s="146" t="n">
        <v>0</v>
      </c>
      <c r="M219" s="146" t="n">
        <v>4.3</v>
      </c>
      <c r="N219" s="146" t="inlineStr"/>
      <c r="O219" s="142" t="inlineStr">
        <is>
          <t>USA STOCK HIS 2</t>
        </is>
      </c>
      <c r="P219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20">
      <c r="B220" s="153" t="inlineStr">
        <is>
          <t>ITX-00215</t>
        </is>
      </c>
      <c r="C220" s="144" t="n">
        <v>46266</v>
      </c>
      <c r="D220" s="158" t="inlineStr">
        <is>
          <t>SCHD</t>
        </is>
      </c>
      <c r="E220" s="137" t="inlineStr">
        <is>
          <t>US</t>
        </is>
      </c>
      <c r="F220" s="137" t="inlineStr">
        <is>
          <t>Buy</t>
        </is>
      </c>
      <c r="G220" s="156" t="n">
        <v>0.08571918395336876</v>
      </c>
      <c r="H220" s="157" t="n">
        <v>34.998</v>
      </c>
      <c r="I220" s="137" t="inlineStr">
        <is>
          <t>USD</t>
        </is>
      </c>
      <c r="J220" s="155">
        <f>IFERROR(LOOKUP(2,1/(tblFX[Date]&lt;=[@Date]),tblFX[Rate]),XLOOKUP("CURRENT_FX_USDTHB",tblSettings[Key],tblSettings[Value]))</f>
        <v/>
      </c>
      <c r="K220" s="128">
        <f>G220*H220*J220</f>
        <v/>
      </c>
      <c r="L220" s="146" t="n">
        <v>0</v>
      </c>
      <c r="M220" s="146" t="n">
        <v>3</v>
      </c>
      <c r="N220" s="146" t="inlineStr"/>
      <c r="O220" s="142" t="inlineStr">
        <is>
          <t>USA STOCK HIS 2</t>
        </is>
      </c>
      <c r="P220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21">
      <c r="B221" s="153" t="inlineStr">
        <is>
          <t>ITX-00216</t>
        </is>
      </c>
      <c r="C221" s="144" t="n">
        <v>46266</v>
      </c>
      <c r="D221" s="158" t="inlineStr">
        <is>
          <t>SCHG</t>
        </is>
      </c>
      <c r="E221" s="137" t="inlineStr">
        <is>
          <t>US</t>
        </is>
      </c>
      <c r="F221" s="137" t="inlineStr">
        <is>
          <t>Buy</t>
        </is>
      </c>
      <c r="G221" s="156" t="n">
        <v>0.08463100880162491</v>
      </c>
      <c r="H221" s="157" t="n">
        <v>35.448</v>
      </c>
      <c r="I221" s="137" t="inlineStr">
        <is>
          <t>USD</t>
        </is>
      </c>
      <c r="J221" s="155">
        <f>IFERROR(LOOKUP(2,1/(tblFX[Date]&lt;=[@Date]),tblFX[Rate]),XLOOKUP("CURRENT_FX_USDTHB",tblSettings[Key],tblSettings[Value]))</f>
        <v/>
      </c>
      <c r="K221" s="128">
        <f>G221*H221*J221</f>
        <v/>
      </c>
      <c r="L221" s="146" t="n">
        <v>0</v>
      </c>
      <c r="M221" s="146" t="n">
        <v>3</v>
      </c>
      <c r="N221" s="146" t="inlineStr"/>
      <c r="O221" s="142" t="inlineStr">
        <is>
          <t>USA STOCK HIS 2</t>
        </is>
      </c>
      <c r="P221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  <row r="222">
      <c r="B222" s="153" t="inlineStr">
        <is>
          <t>ITX-00217</t>
        </is>
      </c>
      <c r="C222" s="144" t="n">
        <v>46266</v>
      </c>
      <c r="D222" s="158" t="inlineStr">
        <is>
          <t>V</t>
        </is>
      </c>
      <c r="E222" s="137" t="inlineStr">
        <is>
          <t>US</t>
        </is>
      </c>
      <c r="F222" s="137" t="inlineStr">
        <is>
          <t>Buy</t>
        </is>
      </c>
      <c r="G222" s="156" t="n">
        <v>0.01920880763300126</v>
      </c>
      <c r="H222" s="157" t="n">
        <v>380.034</v>
      </c>
      <c r="I222" s="137" t="inlineStr">
        <is>
          <t>USD</t>
        </is>
      </c>
      <c r="J222" s="155">
        <f>IFERROR(LOOKUP(2,1/(tblFX[Date]&lt;=[@Date]),tblFX[Rate]),XLOOKUP("CURRENT_FX_USDTHB",tblSettings[Key],tblSettings[Value]))</f>
        <v/>
      </c>
      <c r="K222" s="128">
        <f>G222*H222*J222</f>
        <v/>
      </c>
      <c r="L222" s="146" t="n">
        <v>0</v>
      </c>
      <c r="M222" s="146" t="n">
        <v>7.3</v>
      </c>
      <c r="N222" s="146" t="inlineStr"/>
      <c r="O222" s="142" t="inlineStr">
        <is>
          <t>USA STOCK HIS 2</t>
        </is>
      </c>
      <c r="P222" s="142" t="inlineStr">
        <is>
          <t>1 กันยายน 2569 (แก้ไข) — ซื้อวันที่ 1 ก.ย. 69 เวลา 21:31:45-21:38:38 น. (ราคาที่ถูกต้องจากภาพ IMG_6957/6958/7007/7008/7009)</t>
        </is>
      </c>
    </row>
  </sheetData>
  <autoFilter ref="B5:P222"/>
  <conditionalFormatting sqref="N6:N222">
    <cfRule type="cellIs" priority="1" operator="lessThan" dxfId="6">
      <formula>0</formula>
    </cfRule>
    <cfRule type="cellIs" priority="2" operator="greaterThan" dxfId="8">
      <formula>0</formula>
    </cfRule>
  </conditionalFormatting>
  <conditionalFormatting sqref="P6:P222">
    <cfRule type="expression" priority="3" dxfId="7">
      <formula>ISNUMBER(SEARCH("MISSING",$P6))</formula>
    </cfRule>
  </conditionalFormatting>
  <dataValidations count="4">
    <dataValidation sqref="D6:D522" showDropDown="0" showInputMessage="0" showErrorMessage="0" allowBlank="1" errorTitle="ค่าไม่ถูกต้อง" error="ต้องเลือกจากรายการ Asset เท่านั้น" type="list" errorStyle="stop">
      <formula1>_LISTS!$G$2:$G$20</formula1>
    </dataValidation>
    <dataValidation sqref="E6:E522" showDropDown="0" showInputMessage="0" showErrorMessage="0" allowBlank="1" errorTitle="ค่าไม่ถูกต้อง" error="ต้องเลือกจากรายการ Market เท่านั้น" type="list" errorStyle="stop">
      <formula1>_LISTS!$H$2:$H$5</formula1>
    </dataValidation>
    <dataValidation sqref="F6:F522" showDropDown="0" showInputMessage="0" showErrorMessage="0" allowBlank="1" errorTitle="ค่าไม่ถูกต้อง" error="ต้องเลือกจากรายการ InvTxType เท่านั้น" type="list" errorStyle="stop">
      <formula1>_LISTS!$M$2:$M$6</formula1>
    </dataValidation>
    <dataValidation sqref="I6:I522" showDropDown="0" showInputMessage="0" showErrorMessage="0" allowBlank="1" errorTitle="ค่าไม่ถูกต้อง" error="ต้องเลือกจากรายการ Currency เท่านั้น" type="list" errorStyle="stop">
      <formula1>_LISTS!$D$2:$D$3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6A34A"/>
    <outlinePr summaryBelow="1" summaryRight="1"/>
    <pageSetUpPr/>
  </sheetPr>
  <dimension ref="B2:I3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0" customWidth="1" min="3" max="3"/>
    <col width="16" customWidth="1" min="4" max="4"/>
    <col width="16" customWidth="1" min="5" max="5"/>
    <col width="15" customWidth="1" min="6" max="6"/>
    <col width="15" customWidth="1" min="7" max="7"/>
    <col width="16" customWidth="1" min="8" max="8"/>
    <col width="44" customWidth="1" min="9" max="9"/>
  </cols>
  <sheetData>
    <row r="2" ht="26" customHeight="1">
      <c r="B2" s="124" t="inlineStr">
        <is>
          <t>08_DCA_PLAN — แผน DCA รายเดือน</t>
        </is>
      </c>
    </row>
    <row r="3" ht="14" customHeight="1">
      <c r="B3" s="125" t="inlineStr">
        <is>
          <t>Target ดึงจาก 17_SETTINGS | Actual คำนวณจากรายการซื้อจริงใน 07_INVESTMENT_TX — เพิ่มสินทรัพย์ใหม่ได้</t>
        </is>
      </c>
    </row>
    <row r="5" ht="30" customHeight="1">
      <c r="B5" s="126" t="inlineStr">
        <is>
          <t>Month</t>
        </is>
      </c>
      <c r="C5" s="126" t="inlineStr">
        <is>
          <t>Asset</t>
        </is>
      </c>
      <c r="D5" s="126" t="inlineStr">
        <is>
          <t>Target Amount</t>
        </is>
      </c>
      <c r="E5" s="126" t="inlineStr">
        <is>
          <t>Actual Amount</t>
        </is>
      </c>
      <c r="F5" s="126" t="inlineStr">
        <is>
          <t>Difference</t>
        </is>
      </c>
      <c r="G5" s="126" t="inlineStr">
        <is>
          <t>Completion %</t>
        </is>
      </c>
      <c r="H5" s="126" t="inlineStr">
        <is>
          <t>Status</t>
        </is>
      </c>
      <c r="I5" s="126" t="inlineStr">
        <is>
          <t>Note</t>
        </is>
      </c>
    </row>
    <row r="6">
      <c r="B6" s="127" t="n">
        <v>45839</v>
      </c>
      <c r="C6" s="137" t="inlineStr">
        <is>
          <t>US Stocks</t>
        </is>
      </c>
      <c r="D6" s="174">
        <f>XLOOKUP("DCA_US_STOCKS",tblSettings[Key],tblSettings[Value])</f>
        <v/>
      </c>
      <c r="E6" s="175">
        <f>IFERROR(SUMIFS(tblInvTx[THB Value],tblInvTx[Market],"US",tblInvTx[Transaction Type],"Buy",tblInvTx[Date],"&gt;="&amp;DATE(2025,7,1),tblInvTx[Date],"&lt;="&amp;EOMONTH(DATE(2025,7,1),0)),0)</f>
        <v/>
      </c>
      <c r="F6" s="174">
        <f>E6-D6</f>
        <v/>
      </c>
      <c r="G6" s="132">
        <f>IFERROR(E6/D6,0)</f>
        <v/>
      </c>
      <c r="H6" s="137">
        <f>IF(G6&gt;=1,"✓ Complete",IF(G6&gt;=0.8,"⚠ Partial","✗ Missed"))</f>
        <v/>
      </c>
      <c r="I6" s="142" t="inlineStr"/>
    </row>
    <row r="7">
      <c r="B7" s="127" t="n">
        <v>45839</v>
      </c>
      <c r="C7" s="137" t="inlineStr">
        <is>
          <t>Investment Reserve</t>
        </is>
      </c>
      <c r="D7" s="174">
        <f>XLOOKUP("DCA_INVEST_RESERVE",tblSettings[Key],tblSettings[Value])</f>
        <v/>
      </c>
      <c r="E7" s="175">
        <f>IFERROR(SUMIFS(tblTx[THB Equivalent],tblTx[Subcategory],"Investment Reserve",tblTx[Date],"&gt;="&amp;DATE(2025,7,1),tblTx[Date],"&lt;="&amp;EOMONTH(DATE(2025,7,1),0)),0)</f>
        <v/>
      </c>
      <c r="F7" s="174">
        <f>E7-D7</f>
        <v/>
      </c>
      <c r="G7" s="132">
        <f>IFERROR(E7/D7,0)</f>
        <v/>
      </c>
      <c r="H7" s="137">
        <f>IF(G7&gt;=1,"✓ Complete",IF(G7&gt;=0.8,"⚠ Partial","✗ Missed"))</f>
        <v/>
      </c>
      <c r="I7" s="142" t="inlineStr">
        <is>
          <t>ยังไม่มีบัญชี/รายการแยกสำหรับ Investment Reserve ในไฟล์ต้นทาง</t>
        </is>
      </c>
    </row>
    <row r="8">
      <c r="B8" s="127" t="n">
        <v>45870</v>
      </c>
      <c r="C8" s="137" t="inlineStr">
        <is>
          <t>US Stocks</t>
        </is>
      </c>
      <c r="D8" s="174">
        <f>XLOOKUP("DCA_US_STOCKS",tblSettings[Key],tblSettings[Value])</f>
        <v/>
      </c>
      <c r="E8" s="175">
        <f>IFERROR(SUMIFS(tblInvTx[THB Value],tblInvTx[Market],"US",tblInvTx[Transaction Type],"Buy",tblInvTx[Date],"&gt;="&amp;DATE(2025,8,1),tblInvTx[Date],"&lt;="&amp;EOMONTH(DATE(2025,8,1),0)),0)</f>
        <v/>
      </c>
      <c r="F8" s="174">
        <f>E8-D8</f>
        <v/>
      </c>
      <c r="G8" s="132">
        <f>IFERROR(E8/D8,0)</f>
        <v/>
      </c>
      <c r="H8" s="137">
        <f>IF(G8&gt;=1,"✓ Complete",IF(G8&gt;=0.8,"⚠ Partial","✗ Missed"))</f>
        <v/>
      </c>
      <c r="I8" s="142" t="inlineStr"/>
    </row>
    <row r="9">
      <c r="B9" s="127" t="n">
        <v>45870</v>
      </c>
      <c r="C9" s="137" t="inlineStr">
        <is>
          <t>Investment Reserve</t>
        </is>
      </c>
      <c r="D9" s="174">
        <f>XLOOKUP("DCA_INVEST_RESERVE",tblSettings[Key],tblSettings[Value])</f>
        <v/>
      </c>
      <c r="E9" s="175">
        <f>IFERROR(SUMIFS(tblTx[THB Equivalent],tblTx[Subcategory],"Investment Reserve",tblTx[Date],"&gt;="&amp;DATE(2025,8,1),tblTx[Date],"&lt;="&amp;EOMONTH(DATE(2025,8,1),0)),0)</f>
        <v/>
      </c>
      <c r="F9" s="174">
        <f>E9-D9</f>
        <v/>
      </c>
      <c r="G9" s="132">
        <f>IFERROR(E9/D9,0)</f>
        <v/>
      </c>
      <c r="H9" s="137">
        <f>IF(G9&gt;=1,"✓ Complete",IF(G9&gt;=0.8,"⚠ Partial","✗ Missed"))</f>
        <v/>
      </c>
      <c r="I9" s="142" t="inlineStr">
        <is>
          <t>ยังไม่มีบัญชี/รายการแยกสำหรับ Investment Reserve ในไฟล์ต้นทาง</t>
        </is>
      </c>
    </row>
    <row r="10">
      <c r="B10" s="127" t="n">
        <v>45901</v>
      </c>
      <c r="C10" s="137" t="inlineStr">
        <is>
          <t>US Stocks</t>
        </is>
      </c>
      <c r="D10" s="174">
        <f>XLOOKUP("DCA_US_STOCKS",tblSettings[Key],tblSettings[Value])</f>
        <v/>
      </c>
      <c r="E10" s="175">
        <f>IFERROR(SUMIFS(tblInvTx[THB Value],tblInvTx[Market],"US",tblInvTx[Transaction Type],"Buy",tblInvTx[Date],"&gt;="&amp;DATE(2025,9,1),tblInvTx[Date],"&lt;="&amp;EOMONTH(DATE(2025,9,1),0)),0)</f>
        <v/>
      </c>
      <c r="F10" s="174">
        <f>E10-D10</f>
        <v/>
      </c>
      <c r="G10" s="132">
        <f>IFERROR(E10/D10,0)</f>
        <v/>
      </c>
      <c r="H10" s="137">
        <f>IF(G10&gt;=1,"✓ Complete",IF(G10&gt;=0.8,"⚠ Partial","✗ Missed"))</f>
        <v/>
      </c>
      <c r="I10" s="142" t="inlineStr"/>
    </row>
    <row r="11">
      <c r="B11" s="127" t="n">
        <v>45901</v>
      </c>
      <c r="C11" s="137" t="inlineStr">
        <is>
          <t>Investment Reserve</t>
        </is>
      </c>
      <c r="D11" s="174">
        <f>XLOOKUP("DCA_INVEST_RESERVE",tblSettings[Key],tblSettings[Value])</f>
        <v/>
      </c>
      <c r="E11" s="175">
        <f>IFERROR(SUMIFS(tblTx[THB Equivalent],tblTx[Subcategory],"Investment Reserve",tblTx[Date],"&gt;="&amp;DATE(2025,9,1),tblTx[Date],"&lt;="&amp;EOMONTH(DATE(2025,9,1),0)),0)</f>
        <v/>
      </c>
      <c r="F11" s="174">
        <f>E11-D11</f>
        <v/>
      </c>
      <c r="G11" s="132">
        <f>IFERROR(E11/D11,0)</f>
        <v/>
      </c>
      <c r="H11" s="137">
        <f>IF(G11&gt;=1,"✓ Complete",IF(G11&gt;=0.8,"⚠ Partial","✗ Missed"))</f>
        <v/>
      </c>
      <c r="I11" s="142" t="inlineStr">
        <is>
          <t>ยังไม่มีบัญชี/รายการแยกสำหรับ Investment Reserve ในไฟล์ต้นทาง</t>
        </is>
      </c>
    </row>
    <row r="12">
      <c r="B12" s="127" t="n">
        <v>45931</v>
      </c>
      <c r="C12" s="137" t="inlineStr">
        <is>
          <t>US Stocks</t>
        </is>
      </c>
      <c r="D12" s="174">
        <f>XLOOKUP("DCA_US_STOCKS",tblSettings[Key],tblSettings[Value])</f>
        <v/>
      </c>
      <c r="E12" s="175">
        <f>IFERROR(SUMIFS(tblInvTx[THB Value],tblInvTx[Market],"US",tblInvTx[Transaction Type],"Buy",tblInvTx[Date],"&gt;="&amp;DATE(2025,10,1),tblInvTx[Date],"&lt;="&amp;EOMONTH(DATE(2025,10,1),0)),0)</f>
        <v/>
      </c>
      <c r="F12" s="174">
        <f>E12-D12</f>
        <v/>
      </c>
      <c r="G12" s="132">
        <f>IFERROR(E12/D12,0)</f>
        <v/>
      </c>
      <c r="H12" s="137">
        <f>IF(G12&gt;=1,"✓ Complete",IF(G12&gt;=0.8,"⚠ Partial","✗ Missed"))</f>
        <v/>
      </c>
      <c r="I12" s="142" t="inlineStr"/>
    </row>
    <row r="13">
      <c r="B13" s="127" t="n">
        <v>45931</v>
      </c>
      <c r="C13" s="137" t="inlineStr">
        <is>
          <t>Investment Reserve</t>
        </is>
      </c>
      <c r="D13" s="174">
        <f>XLOOKUP("DCA_INVEST_RESERVE",tblSettings[Key],tblSettings[Value])</f>
        <v/>
      </c>
      <c r="E13" s="175">
        <f>IFERROR(SUMIFS(tblTx[THB Equivalent],tblTx[Subcategory],"Investment Reserve",tblTx[Date],"&gt;="&amp;DATE(2025,10,1),tblTx[Date],"&lt;="&amp;EOMONTH(DATE(2025,10,1),0)),0)</f>
        <v/>
      </c>
      <c r="F13" s="174">
        <f>E13-D13</f>
        <v/>
      </c>
      <c r="G13" s="132">
        <f>IFERROR(E13/D13,0)</f>
        <v/>
      </c>
      <c r="H13" s="137">
        <f>IF(G13&gt;=1,"✓ Complete",IF(G13&gt;=0.8,"⚠ Partial","✗ Missed"))</f>
        <v/>
      </c>
      <c r="I13" s="142" t="inlineStr">
        <is>
          <t>ยังไม่มีบัญชี/รายการแยกสำหรับ Investment Reserve ในไฟล์ต้นทาง</t>
        </is>
      </c>
    </row>
    <row r="14">
      <c r="B14" s="127" t="n">
        <v>45962</v>
      </c>
      <c r="C14" s="137" t="inlineStr">
        <is>
          <t>US Stocks</t>
        </is>
      </c>
      <c r="D14" s="174">
        <f>XLOOKUP("DCA_US_STOCKS",tblSettings[Key],tblSettings[Value])</f>
        <v/>
      </c>
      <c r="E14" s="175">
        <f>IFERROR(SUMIFS(tblInvTx[THB Value],tblInvTx[Market],"US",tblInvTx[Transaction Type],"Buy",tblInvTx[Date],"&gt;="&amp;DATE(2025,11,1),tblInvTx[Date],"&lt;="&amp;EOMONTH(DATE(2025,11,1),0)),0)</f>
        <v/>
      </c>
      <c r="F14" s="174">
        <f>E14-D14</f>
        <v/>
      </c>
      <c r="G14" s="132">
        <f>IFERROR(E14/D14,0)</f>
        <v/>
      </c>
      <c r="H14" s="137">
        <f>IF(G14&gt;=1,"✓ Complete",IF(G14&gt;=0.8,"⚠ Partial","✗ Missed"))</f>
        <v/>
      </c>
      <c r="I14" s="142" t="inlineStr"/>
    </row>
    <row r="15">
      <c r="B15" s="127" t="n">
        <v>45962</v>
      </c>
      <c r="C15" s="137" t="inlineStr">
        <is>
          <t>Investment Reserve</t>
        </is>
      </c>
      <c r="D15" s="174">
        <f>XLOOKUP("DCA_INVEST_RESERVE",tblSettings[Key],tblSettings[Value])</f>
        <v/>
      </c>
      <c r="E15" s="175">
        <f>IFERROR(SUMIFS(tblTx[THB Equivalent],tblTx[Subcategory],"Investment Reserve",tblTx[Date],"&gt;="&amp;DATE(2025,11,1),tblTx[Date],"&lt;="&amp;EOMONTH(DATE(2025,11,1),0)),0)</f>
        <v/>
      </c>
      <c r="F15" s="174">
        <f>E15-D15</f>
        <v/>
      </c>
      <c r="G15" s="132">
        <f>IFERROR(E15/D15,0)</f>
        <v/>
      </c>
      <c r="H15" s="137">
        <f>IF(G15&gt;=1,"✓ Complete",IF(G15&gt;=0.8,"⚠ Partial","✗ Missed"))</f>
        <v/>
      </c>
      <c r="I15" s="142" t="inlineStr">
        <is>
          <t>ยังไม่มีบัญชี/รายการแยกสำหรับ Investment Reserve ในไฟล์ต้นทาง</t>
        </is>
      </c>
    </row>
    <row r="16">
      <c r="B16" s="127" t="n">
        <v>45992</v>
      </c>
      <c r="C16" s="137" t="inlineStr">
        <is>
          <t>US Stocks</t>
        </is>
      </c>
      <c r="D16" s="174">
        <f>XLOOKUP("DCA_US_STOCKS",tblSettings[Key],tblSettings[Value])</f>
        <v/>
      </c>
      <c r="E16" s="175">
        <f>IFERROR(SUMIFS(tblInvTx[THB Value],tblInvTx[Market],"US",tblInvTx[Transaction Type],"Buy",tblInvTx[Date],"&gt;="&amp;DATE(2025,12,1),tblInvTx[Date],"&lt;="&amp;EOMONTH(DATE(2025,12,1),0)),0)</f>
        <v/>
      </c>
      <c r="F16" s="174">
        <f>E16-D16</f>
        <v/>
      </c>
      <c r="G16" s="132">
        <f>IFERROR(E16/D16,0)</f>
        <v/>
      </c>
      <c r="H16" s="137">
        <f>IF(G16&gt;=1,"✓ Complete",IF(G16&gt;=0.8,"⚠ Partial","✗ Missed"))</f>
        <v/>
      </c>
      <c r="I16" s="142" t="inlineStr"/>
    </row>
    <row r="17">
      <c r="B17" s="127" t="n">
        <v>45992</v>
      </c>
      <c r="C17" s="137" t="inlineStr">
        <is>
          <t>Investment Reserve</t>
        </is>
      </c>
      <c r="D17" s="174">
        <f>XLOOKUP("DCA_INVEST_RESERVE",tblSettings[Key],tblSettings[Value])</f>
        <v/>
      </c>
      <c r="E17" s="175">
        <f>IFERROR(SUMIFS(tblTx[THB Equivalent],tblTx[Subcategory],"Investment Reserve",tblTx[Date],"&gt;="&amp;DATE(2025,12,1),tblTx[Date],"&lt;="&amp;EOMONTH(DATE(2025,12,1),0)),0)</f>
        <v/>
      </c>
      <c r="F17" s="174">
        <f>E17-D17</f>
        <v/>
      </c>
      <c r="G17" s="132">
        <f>IFERROR(E17/D17,0)</f>
        <v/>
      </c>
      <c r="H17" s="137">
        <f>IF(G17&gt;=1,"✓ Complete",IF(G17&gt;=0.8,"⚠ Partial","✗ Missed"))</f>
        <v/>
      </c>
      <c r="I17" s="142" t="inlineStr">
        <is>
          <t>ยังไม่มีบัญชี/รายการแยกสำหรับ Investment Reserve ในไฟล์ต้นทาง</t>
        </is>
      </c>
    </row>
    <row r="18">
      <c r="B18" s="127" t="n">
        <v>46023</v>
      </c>
      <c r="C18" s="137" t="inlineStr">
        <is>
          <t>US Stocks</t>
        </is>
      </c>
      <c r="D18" s="174">
        <f>XLOOKUP("DCA_US_STOCKS",tblSettings[Key],tblSettings[Value])</f>
        <v/>
      </c>
      <c r="E18" s="175">
        <f>IFERROR(SUMIFS(tblInvTx[THB Value],tblInvTx[Market],"US",tblInvTx[Transaction Type],"Buy",tblInvTx[Date],"&gt;="&amp;DATE(2026,1,1),tblInvTx[Date],"&lt;="&amp;EOMONTH(DATE(2026,1,1),0)),0)</f>
        <v/>
      </c>
      <c r="F18" s="174">
        <f>E18-D18</f>
        <v/>
      </c>
      <c r="G18" s="132">
        <f>IFERROR(E18/D18,0)</f>
        <v/>
      </c>
      <c r="H18" s="137">
        <f>IF(G18&gt;=1,"✓ Complete",IF(G18&gt;=0.8,"⚠ Partial","✗ Missed"))</f>
        <v/>
      </c>
      <c r="I18" s="142" t="inlineStr"/>
    </row>
    <row r="19">
      <c r="B19" s="127" t="n">
        <v>46023</v>
      </c>
      <c r="C19" s="137" t="inlineStr">
        <is>
          <t>Investment Reserve</t>
        </is>
      </c>
      <c r="D19" s="174">
        <f>XLOOKUP("DCA_INVEST_RESERVE",tblSettings[Key],tblSettings[Value])</f>
        <v/>
      </c>
      <c r="E19" s="175">
        <f>IFERROR(SUMIFS(tblTx[THB Equivalent],tblTx[Subcategory],"Investment Reserve",tblTx[Date],"&gt;="&amp;DATE(2026,1,1),tblTx[Date],"&lt;="&amp;EOMONTH(DATE(2026,1,1),0)),0)</f>
        <v/>
      </c>
      <c r="F19" s="174">
        <f>E19-D19</f>
        <v/>
      </c>
      <c r="G19" s="132">
        <f>IFERROR(E19/D19,0)</f>
        <v/>
      </c>
      <c r="H19" s="137">
        <f>IF(G19&gt;=1,"✓ Complete",IF(G19&gt;=0.8,"⚠ Partial","✗ Missed"))</f>
        <v/>
      </c>
      <c r="I19" s="142" t="inlineStr">
        <is>
          <t>ยังไม่มีบัญชี/รายการแยกสำหรับ Investment Reserve ในไฟล์ต้นทาง</t>
        </is>
      </c>
    </row>
    <row r="20">
      <c r="B20" s="127" t="n">
        <v>46054</v>
      </c>
      <c r="C20" s="137" t="inlineStr">
        <is>
          <t>US Stocks</t>
        </is>
      </c>
      <c r="D20" s="174">
        <f>XLOOKUP("DCA_US_STOCKS",tblSettings[Key],tblSettings[Value])</f>
        <v/>
      </c>
      <c r="E20" s="175">
        <f>IFERROR(SUMIFS(tblInvTx[THB Value],tblInvTx[Market],"US",tblInvTx[Transaction Type],"Buy",tblInvTx[Date],"&gt;="&amp;DATE(2026,2,1),tblInvTx[Date],"&lt;="&amp;EOMONTH(DATE(2026,2,1),0)),0)</f>
        <v/>
      </c>
      <c r="F20" s="174">
        <f>E20-D20</f>
        <v/>
      </c>
      <c r="G20" s="132">
        <f>IFERROR(E20/D20,0)</f>
        <v/>
      </c>
      <c r="H20" s="137">
        <f>IF(G20&gt;=1,"✓ Complete",IF(G20&gt;=0.8,"⚠ Partial","✗ Missed"))</f>
        <v/>
      </c>
      <c r="I20" s="142" t="inlineStr"/>
    </row>
    <row r="21">
      <c r="B21" s="127" t="n">
        <v>46054</v>
      </c>
      <c r="C21" s="137" t="inlineStr">
        <is>
          <t>Investment Reserve</t>
        </is>
      </c>
      <c r="D21" s="174">
        <f>XLOOKUP("DCA_INVEST_RESERVE",tblSettings[Key],tblSettings[Value])</f>
        <v/>
      </c>
      <c r="E21" s="175">
        <f>IFERROR(SUMIFS(tblTx[THB Equivalent],tblTx[Subcategory],"Investment Reserve",tblTx[Date],"&gt;="&amp;DATE(2026,2,1),tblTx[Date],"&lt;="&amp;EOMONTH(DATE(2026,2,1),0)),0)</f>
        <v/>
      </c>
      <c r="F21" s="174">
        <f>E21-D21</f>
        <v/>
      </c>
      <c r="G21" s="132">
        <f>IFERROR(E21/D21,0)</f>
        <v/>
      </c>
      <c r="H21" s="137">
        <f>IF(G21&gt;=1,"✓ Complete",IF(G21&gt;=0.8,"⚠ Partial","✗ Missed"))</f>
        <v/>
      </c>
      <c r="I21" s="142" t="inlineStr">
        <is>
          <t>ยังไม่มีบัญชี/รายการแยกสำหรับ Investment Reserve ในไฟล์ต้นทาง</t>
        </is>
      </c>
    </row>
    <row r="22">
      <c r="B22" s="127" t="n">
        <v>46082</v>
      </c>
      <c r="C22" s="137" t="inlineStr">
        <is>
          <t>US Stocks</t>
        </is>
      </c>
      <c r="D22" s="174">
        <f>XLOOKUP("DCA_US_STOCKS",tblSettings[Key],tblSettings[Value])</f>
        <v/>
      </c>
      <c r="E22" s="175">
        <f>IFERROR(SUMIFS(tblInvTx[THB Value],tblInvTx[Market],"US",tblInvTx[Transaction Type],"Buy",tblInvTx[Date],"&gt;="&amp;DATE(2026,3,1),tblInvTx[Date],"&lt;="&amp;EOMONTH(DATE(2026,3,1),0)),0)</f>
        <v/>
      </c>
      <c r="F22" s="174">
        <f>E22-D22</f>
        <v/>
      </c>
      <c r="G22" s="132">
        <f>IFERROR(E22/D22,0)</f>
        <v/>
      </c>
      <c r="H22" s="137">
        <f>IF(G22&gt;=1,"✓ Complete",IF(G22&gt;=0.8,"⚠ Partial","✗ Missed"))</f>
        <v/>
      </c>
      <c r="I22" s="142" t="inlineStr"/>
    </row>
    <row r="23">
      <c r="B23" s="127" t="n">
        <v>46082</v>
      </c>
      <c r="C23" s="137" t="inlineStr">
        <is>
          <t>Investment Reserve</t>
        </is>
      </c>
      <c r="D23" s="174">
        <f>XLOOKUP("DCA_INVEST_RESERVE",tblSettings[Key],tblSettings[Value])</f>
        <v/>
      </c>
      <c r="E23" s="175">
        <f>IFERROR(SUMIFS(tblTx[THB Equivalent],tblTx[Subcategory],"Investment Reserve",tblTx[Date],"&gt;="&amp;DATE(2026,3,1),tblTx[Date],"&lt;="&amp;EOMONTH(DATE(2026,3,1),0)),0)</f>
        <v/>
      </c>
      <c r="F23" s="174">
        <f>E23-D23</f>
        <v/>
      </c>
      <c r="G23" s="132">
        <f>IFERROR(E23/D23,0)</f>
        <v/>
      </c>
      <c r="H23" s="137">
        <f>IF(G23&gt;=1,"✓ Complete",IF(G23&gt;=0.8,"⚠ Partial","✗ Missed"))</f>
        <v/>
      </c>
      <c r="I23" s="142" t="inlineStr">
        <is>
          <t>ยังไม่มีบัญชี/รายการแยกสำหรับ Investment Reserve ในไฟล์ต้นทาง</t>
        </is>
      </c>
    </row>
    <row r="24">
      <c r="B24" s="127" t="n">
        <v>46113</v>
      </c>
      <c r="C24" s="137" t="inlineStr">
        <is>
          <t>US Stocks</t>
        </is>
      </c>
      <c r="D24" s="174">
        <f>XLOOKUP("DCA_US_STOCKS",tblSettings[Key],tblSettings[Value])</f>
        <v/>
      </c>
      <c r="E24" s="175">
        <f>IFERROR(SUMIFS(tblInvTx[THB Value],tblInvTx[Market],"US",tblInvTx[Transaction Type],"Buy",tblInvTx[Date],"&gt;="&amp;DATE(2026,4,1),tblInvTx[Date],"&lt;="&amp;EOMONTH(DATE(2026,4,1),0)),0)</f>
        <v/>
      </c>
      <c r="F24" s="174">
        <f>E24-D24</f>
        <v/>
      </c>
      <c r="G24" s="132">
        <f>IFERROR(E24/D24,0)</f>
        <v/>
      </c>
      <c r="H24" s="137">
        <f>IF(G24&gt;=1,"✓ Complete",IF(G24&gt;=0.8,"⚠ Partial","✗ Missed"))</f>
        <v/>
      </c>
      <c r="I24" s="142" t="inlineStr"/>
    </row>
    <row r="25">
      <c r="B25" s="127" t="n">
        <v>46113</v>
      </c>
      <c r="C25" s="137" t="inlineStr">
        <is>
          <t>Investment Reserve</t>
        </is>
      </c>
      <c r="D25" s="174">
        <f>XLOOKUP("DCA_INVEST_RESERVE",tblSettings[Key],tblSettings[Value])</f>
        <v/>
      </c>
      <c r="E25" s="175">
        <f>IFERROR(SUMIFS(tblTx[THB Equivalent],tblTx[Subcategory],"Investment Reserve",tblTx[Date],"&gt;="&amp;DATE(2026,4,1),tblTx[Date],"&lt;="&amp;EOMONTH(DATE(2026,4,1),0)),0)</f>
        <v/>
      </c>
      <c r="F25" s="174">
        <f>E25-D25</f>
        <v/>
      </c>
      <c r="G25" s="132">
        <f>IFERROR(E25/D25,0)</f>
        <v/>
      </c>
      <c r="H25" s="137">
        <f>IF(G25&gt;=1,"✓ Complete",IF(G25&gt;=0.8,"⚠ Partial","✗ Missed"))</f>
        <v/>
      </c>
      <c r="I25" s="142" t="inlineStr">
        <is>
          <t>ยังไม่มีบัญชี/รายการแยกสำหรับ Investment Reserve ในไฟล์ต้นทาง</t>
        </is>
      </c>
    </row>
    <row r="26">
      <c r="B26" s="127" t="n">
        <v>46143</v>
      </c>
      <c r="C26" s="137" t="inlineStr">
        <is>
          <t>US Stocks</t>
        </is>
      </c>
      <c r="D26" s="174">
        <f>XLOOKUP("DCA_US_STOCKS",tblSettings[Key],tblSettings[Value])</f>
        <v/>
      </c>
      <c r="E26" s="175">
        <f>IFERROR(SUMIFS(tblInvTx[THB Value],tblInvTx[Market],"US",tblInvTx[Transaction Type],"Buy",tblInvTx[Date],"&gt;="&amp;DATE(2026,5,1),tblInvTx[Date],"&lt;="&amp;EOMONTH(DATE(2026,5,1),0)),0)</f>
        <v/>
      </c>
      <c r="F26" s="174">
        <f>E26-D26</f>
        <v/>
      </c>
      <c r="G26" s="132">
        <f>IFERROR(E26/D26,0)</f>
        <v/>
      </c>
      <c r="H26" s="137">
        <f>IF(G26&gt;=1,"✓ Complete",IF(G26&gt;=0.8,"⚠ Partial","✗ Missed"))</f>
        <v/>
      </c>
      <c r="I26" s="142" t="inlineStr"/>
    </row>
    <row r="27">
      <c r="B27" s="127" t="n">
        <v>46143</v>
      </c>
      <c r="C27" s="137" t="inlineStr">
        <is>
          <t>Investment Reserve</t>
        </is>
      </c>
      <c r="D27" s="174">
        <f>XLOOKUP("DCA_INVEST_RESERVE",tblSettings[Key],tblSettings[Value])</f>
        <v/>
      </c>
      <c r="E27" s="175">
        <f>IFERROR(SUMIFS(tblTx[THB Equivalent],tblTx[Subcategory],"Investment Reserve",tblTx[Date],"&gt;="&amp;DATE(2026,5,1),tblTx[Date],"&lt;="&amp;EOMONTH(DATE(2026,5,1),0)),0)</f>
        <v/>
      </c>
      <c r="F27" s="174">
        <f>E27-D27</f>
        <v/>
      </c>
      <c r="G27" s="132">
        <f>IFERROR(E27/D27,0)</f>
        <v/>
      </c>
      <c r="H27" s="137">
        <f>IF(G27&gt;=1,"✓ Complete",IF(G27&gt;=0.8,"⚠ Partial","✗ Missed"))</f>
        <v/>
      </c>
      <c r="I27" s="142" t="inlineStr">
        <is>
          <t>ยังไม่มีบัญชี/รายการแยกสำหรับ Investment Reserve ในไฟล์ต้นทาง</t>
        </is>
      </c>
    </row>
    <row r="28">
      <c r="B28" s="127" t="n">
        <v>46174</v>
      </c>
      <c r="C28" s="137" t="inlineStr">
        <is>
          <t>US Stocks</t>
        </is>
      </c>
      <c r="D28" s="174">
        <f>XLOOKUP("DCA_US_STOCKS",tblSettings[Key],tblSettings[Value])</f>
        <v/>
      </c>
      <c r="E28" s="175">
        <f>IFERROR(SUMIFS(tblInvTx[THB Value],tblInvTx[Market],"US",tblInvTx[Transaction Type],"Buy",tblInvTx[Date],"&gt;="&amp;DATE(2026,6,1),tblInvTx[Date],"&lt;="&amp;EOMONTH(DATE(2026,6,1),0)),0)</f>
        <v/>
      </c>
      <c r="F28" s="174">
        <f>E28-D28</f>
        <v/>
      </c>
      <c r="G28" s="132">
        <f>IFERROR(E28/D28,0)</f>
        <v/>
      </c>
      <c r="H28" s="137">
        <f>IF(G28&gt;=1,"✓ Complete",IF(G28&gt;=0.8,"⚠ Partial","✗ Missed"))</f>
        <v/>
      </c>
      <c r="I28" s="142" t="inlineStr"/>
    </row>
    <row r="29">
      <c r="B29" s="127" t="n">
        <v>46174</v>
      </c>
      <c r="C29" s="137" t="inlineStr">
        <is>
          <t>Investment Reserve</t>
        </is>
      </c>
      <c r="D29" s="174">
        <f>XLOOKUP("DCA_INVEST_RESERVE",tblSettings[Key],tblSettings[Value])</f>
        <v/>
      </c>
      <c r="E29" s="175">
        <f>IFERROR(SUMIFS(tblTx[THB Equivalent],tblTx[Subcategory],"Investment Reserve",tblTx[Date],"&gt;="&amp;DATE(2026,6,1),tblTx[Date],"&lt;="&amp;EOMONTH(DATE(2026,6,1),0)),0)</f>
        <v/>
      </c>
      <c r="F29" s="174">
        <f>E29-D29</f>
        <v/>
      </c>
      <c r="G29" s="132">
        <f>IFERROR(E29/D29,0)</f>
        <v/>
      </c>
      <c r="H29" s="137">
        <f>IF(G29&gt;=1,"✓ Complete",IF(G29&gt;=0.8,"⚠ Partial","✗ Missed"))</f>
        <v/>
      </c>
      <c r="I29" s="142" t="inlineStr">
        <is>
          <t>ยังไม่มีบัญชี/รายการแยกสำหรับ Investment Reserve ในไฟล์ต้นทาง</t>
        </is>
      </c>
    </row>
    <row r="30">
      <c r="B30" s="127" t="n">
        <v>46204</v>
      </c>
      <c r="C30" s="137" t="inlineStr">
        <is>
          <t>US Stocks</t>
        </is>
      </c>
      <c r="D30" s="174">
        <f>XLOOKUP("DCA_US_STOCKS",tblSettings[Key],tblSettings[Value])</f>
        <v/>
      </c>
      <c r="E30" s="175">
        <f>IFERROR(SUMIFS(tblInvTx[THB Value],tblInvTx[Market],"US",tblInvTx[Transaction Type],"Buy",tblInvTx[Date],"&gt;="&amp;DATE(2026,7,1),tblInvTx[Date],"&lt;="&amp;EOMONTH(DATE(2026,7,1),0)),0)</f>
        <v/>
      </c>
      <c r="F30" s="174">
        <f>E30-D30</f>
        <v/>
      </c>
      <c r="G30" s="132">
        <f>IFERROR(E30/D30,0)</f>
        <v/>
      </c>
      <c r="H30" s="137">
        <f>IF(G30&gt;=1,"✓ Complete",IF(G30&gt;=0.8,"⚠ Partial","✗ Missed"))</f>
        <v/>
      </c>
      <c r="I30" s="142" t="inlineStr"/>
    </row>
    <row r="31">
      <c r="B31" s="127" t="n">
        <v>46204</v>
      </c>
      <c r="C31" s="137" t="inlineStr">
        <is>
          <t>Investment Reserve</t>
        </is>
      </c>
      <c r="D31" s="174">
        <f>XLOOKUP("DCA_INVEST_RESERVE",tblSettings[Key],tblSettings[Value])</f>
        <v/>
      </c>
      <c r="E31" s="175">
        <f>IFERROR(SUMIFS(tblTx[THB Equivalent],tblTx[Subcategory],"Investment Reserve",tblTx[Date],"&gt;="&amp;DATE(2026,7,1),tblTx[Date],"&lt;="&amp;EOMONTH(DATE(2026,7,1),0)),0)</f>
        <v/>
      </c>
      <c r="F31" s="174">
        <f>E31-D31</f>
        <v/>
      </c>
      <c r="G31" s="132">
        <f>IFERROR(E31/D31,0)</f>
        <v/>
      </c>
      <c r="H31" s="137">
        <f>IF(G31&gt;=1,"✓ Complete",IF(G31&gt;=0.8,"⚠ Partial","✗ Missed"))</f>
        <v/>
      </c>
      <c r="I31" s="142" t="inlineStr">
        <is>
          <t>ยังไม่มีบัญชี/รายการแยกสำหรับ Investment Reserve ในไฟล์ต้นทาง</t>
        </is>
      </c>
    </row>
    <row r="32">
      <c r="B32" s="127" t="n">
        <v>46235</v>
      </c>
      <c r="C32" s="137" t="inlineStr">
        <is>
          <t>US Stocks</t>
        </is>
      </c>
      <c r="D32" s="174">
        <f>XLOOKUP("DCA_US_STOCKS",tblSettings[Key],tblSettings[Value])</f>
        <v/>
      </c>
      <c r="E32" s="175">
        <f>IFERROR(SUMIFS(tblInvTx[THB Value],tblInvTx[Market],"US",tblInvTx[Transaction Type],"Buy",tblInvTx[Date],"&gt;="&amp;DATE(2026,8,1),tblInvTx[Date],"&lt;="&amp;EOMONTH(DATE(2026,8,1),0)),0)</f>
        <v/>
      </c>
      <c r="F32" s="174">
        <f>E32-D32</f>
        <v/>
      </c>
      <c r="G32" s="132">
        <f>IFERROR(E32/D32,0)</f>
        <v/>
      </c>
      <c r="H32" s="137">
        <f>IF(G32&gt;=1,"✓ Complete",IF(G32&gt;=0.8,"⚠ Partial","✗ Missed"))</f>
        <v/>
      </c>
      <c r="I32" s="142" t="inlineStr"/>
    </row>
    <row r="33">
      <c r="B33" s="127" t="n">
        <v>46235</v>
      </c>
      <c r="C33" s="137" t="inlineStr">
        <is>
          <t>Investment Reserve</t>
        </is>
      </c>
      <c r="D33" s="174">
        <f>XLOOKUP("DCA_INVEST_RESERVE",tblSettings[Key],tblSettings[Value])</f>
        <v/>
      </c>
      <c r="E33" s="175">
        <f>IFERROR(SUMIFS(tblTx[THB Equivalent],tblTx[Subcategory],"Investment Reserve",tblTx[Date],"&gt;="&amp;DATE(2026,8,1),tblTx[Date],"&lt;="&amp;EOMONTH(DATE(2026,8,1),0)),0)</f>
        <v/>
      </c>
      <c r="F33" s="174">
        <f>E33-D33</f>
        <v/>
      </c>
      <c r="G33" s="132">
        <f>IFERROR(E33/D33,0)</f>
        <v/>
      </c>
      <c r="H33" s="137">
        <f>IF(G33&gt;=1,"✓ Complete",IF(G33&gt;=0.8,"⚠ Partial","✗ Missed"))</f>
        <v/>
      </c>
      <c r="I33" s="142" t="inlineStr">
        <is>
          <t>ยังไม่มีบัญชี/รายการแยกสำหรับ Investment Reserve ในไฟล์ต้นทาง</t>
        </is>
      </c>
    </row>
    <row r="34">
      <c r="B34" s="127" t="n">
        <v>46266</v>
      </c>
      <c r="C34" s="137" t="inlineStr">
        <is>
          <t>US Stocks</t>
        </is>
      </c>
      <c r="D34" s="174">
        <f>XLOOKUP("DCA_US_STOCKS",tblSettings[Key],tblSettings[Value])</f>
        <v/>
      </c>
      <c r="E34" s="175">
        <f>IFERROR(SUMIFS(tblInvTx[THB Value],tblInvTx[Market],"US",tblInvTx[Transaction Type],"Buy",tblInvTx[Date],"&gt;="&amp;DATE(2026,9,1),tblInvTx[Date],"&lt;="&amp;EOMONTH(DATE(2026,9,1),0)),0)</f>
        <v/>
      </c>
      <c r="F34" s="174">
        <f>E34-D34</f>
        <v/>
      </c>
      <c r="G34" s="132">
        <f>IFERROR(E34/D34,0)</f>
        <v/>
      </c>
      <c r="H34" s="137">
        <f>IF(G34&gt;=1,"✓ Complete",IF(G34&gt;=0.8,"⚠ Partial","✗ Missed"))</f>
        <v/>
      </c>
      <c r="I34" s="142" t="inlineStr"/>
    </row>
    <row r="35">
      <c r="B35" s="127" t="n">
        <v>46266</v>
      </c>
      <c r="C35" s="137" t="inlineStr">
        <is>
          <t>Investment Reserve</t>
        </is>
      </c>
      <c r="D35" s="174">
        <f>XLOOKUP("DCA_INVEST_RESERVE",tblSettings[Key],tblSettings[Value])</f>
        <v/>
      </c>
      <c r="E35" s="175">
        <f>IFERROR(SUMIFS(tblTx[THB Equivalent],tblTx[Subcategory],"Investment Reserve",tblTx[Date],"&gt;="&amp;DATE(2026,9,1),tblTx[Date],"&lt;="&amp;EOMONTH(DATE(2026,9,1),0)),0)</f>
        <v/>
      </c>
      <c r="F35" s="174">
        <f>E35-D35</f>
        <v/>
      </c>
      <c r="G35" s="132">
        <f>IFERROR(E35/D35,0)</f>
        <v/>
      </c>
      <c r="H35" s="137">
        <f>IF(G35&gt;=1,"✓ Complete",IF(G35&gt;=0.8,"⚠ Partial","✗ Missed"))</f>
        <v/>
      </c>
      <c r="I35" s="142" t="inlineStr">
        <is>
          <t>ยังไม่มีบัญชี/รายการแยกสำหรับ Investment Reserve ในไฟล์ต้นทาง</t>
        </is>
      </c>
    </row>
  </sheetData>
  <conditionalFormatting sqref="G6:G35">
    <cfRule type="cellIs" priority="1" operator="greaterThanOrEqual" dxfId="3">
      <formula>1</formula>
    </cfRule>
    <cfRule type="cellIs" priority="2" operator="between" dxfId="4">
      <formula>0.8</formula>
      <formula>0.9999</formula>
    </cfRule>
    <cfRule type="cellIs" priority="3" operator="lessThan" dxfId="5">
      <formula>0.8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F6FEB"/>
    <outlinePr summaryBelow="1" summaryRight="1"/>
    <pageSetUpPr/>
  </sheetPr>
  <dimension ref="B2:Q19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6" customWidth="1" min="3" max="3"/>
    <col width="12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  <col width="16" customWidth="1" min="10" max="10"/>
    <col width="16" customWidth="1" min="11" max="11"/>
    <col width="18" customWidth="1" min="12" max="12"/>
    <col width="18" customWidth="1" min="13" max="13"/>
    <col width="22" customWidth="1" min="14" max="14"/>
    <col width="22" customWidth="1" min="15" max="15"/>
    <col width="13" customWidth="1" min="16" max="16"/>
    <col width="22" customWidth="1" min="17" max="17"/>
  </cols>
  <sheetData>
    <row r="2" ht="26" customHeight="1">
      <c r="B2" s="124" t="inlineStr">
        <is>
          <t>09_PVD — กองทุนสำรองเลี้ยงชีพ</t>
        </is>
      </c>
    </row>
    <row r="3" ht="14" customHeight="1">
      <c r="B3" s="125" t="inlineStr">
        <is>
          <t>Employee 15% / Employer 12% ของเงินเดือนฐาน | Salary ย้อนคำนวณจากเงินสะสมที่เพิ่มขึ้นจริงแต่ละเดือน</t>
        </is>
      </c>
    </row>
    <row r="5" ht="30" customHeight="1">
      <c r="B5" s="126" t="inlineStr">
        <is>
          <t>Month</t>
        </is>
      </c>
      <c r="C5" s="126" t="inlineStr">
        <is>
          <t>Salary (derived)</t>
        </is>
      </c>
      <c r="D5" s="126" t="inlineStr">
        <is>
          <t>Employee %</t>
        </is>
      </c>
      <c r="E5" s="126" t="inlineStr">
        <is>
          <t>Employee Contribution</t>
        </is>
      </c>
      <c r="F5" s="126" t="inlineStr">
        <is>
          <t>Employer %</t>
        </is>
      </c>
      <c r="G5" s="126" t="inlineStr">
        <is>
          <t>Employer Contribution</t>
        </is>
      </c>
      <c r="H5" s="126" t="inlineStr">
        <is>
          <t>Employee Cum.</t>
        </is>
      </c>
      <c r="I5" s="126" t="inlineStr">
        <is>
          <t>Employer Cum.</t>
        </is>
      </c>
      <c r="J5" s="126" t="inlineStr">
        <is>
          <t>Employee Benefit</t>
        </is>
      </c>
      <c r="K5" s="126" t="inlineStr">
        <is>
          <t>Employer Benefit</t>
        </is>
      </c>
      <c r="L5" s="126" t="inlineStr">
        <is>
          <t>Total Contribution</t>
        </is>
      </c>
      <c r="M5" s="126" t="inlineStr">
        <is>
          <t>Investment Gain/Loss</t>
        </is>
      </c>
      <c r="N5" s="126" t="inlineStr">
        <is>
          <t>Ending Balance (Calculated)</t>
        </is>
      </c>
      <c r="O5" s="126" t="inlineStr">
        <is>
          <t>Ending Balance (Reported)</t>
        </is>
      </c>
      <c r="P5" s="126" t="inlineStr">
        <is>
          <t>Difference</t>
        </is>
      </c>
      <c r="Q5" s="126" t="inlineStr">
        <is>
          <t>Source</t>
        </is>
      </c>
    </row>
    <row r="6">
      <c r="B6" s="127" t="n">
        <v>45931</v>
      </c>
      <c r="C6" s="128">
        <f>IFERROR(E6/D6,"N/A")</f>
        <v/>
      </c>
      <c r="D6" s="176" t="n">
        <v>0.15</v>
      </c>
      <c r="E6" s="128" t="n">
        <v>2700</v>
      </c>
      <c r="F6" s="176" t="n">
        <v>0.12</v>
      </c>
      <c r="G6" s="128" t="n">
        <v>2160</v>
      </c>
      <c r="H6" s="129" t="n">
        <v>2700</v>
      </c>
      <c r="I6" s="129" t="n">
        <v>2160</v>
      </c>
      <c r="J6" s="128" t="n">
        <v>-2.01</v>
      </c>
      <c r="K6" s="128" t="n">
        <v>-1.6</v>
      </c>
      <c r="L6" s="128">
        <f>H6+I6</f>
        <v/>
      </c>
      <c r="M6" s="128">
        <f>J6+K6</f>
        <v/>
      </c>
      <c r="N6" s="140">
        <f>L6+M6</f>
        <v/>
      </c>
      <c r="O6" s="129" t="n">
        <v>4856.389999999999</v>
      </c>
      <c r="P6" s="128">
        <f>N6-O6</f>
        <v/>
      </c>
      <c r="Q6" s="142" t="inlineStr">
        <is>
          <t>PVD HIS (legacy) + statement</t>
        </is>
      </c>
    </row>
    <row r="7">
      <c r="B7" s="127" t="n">
        <v>45962</v>
      </c>
      <c r="C7" s="128">
        <f>IFERROR(E7/D7,"N/A")</f>
        <v/>
      </c>
      <c r="D7" s="176" t="n">
        <v>0.15</v>
      </c>
      <c r="E7" s="128" t="n">
        <v>2700</v>
      </c>
      <c r="F7" s="176" t="n">
        <v>0.12</v>
      </c>
      <c r="G7" s="128" t="n">
        <v>2160</v>
      </c>
      <c r="H7" s="129" t="n">
        <v>5400</v>
      </c>
      <c r="I7" s="129" t="n">
        <v>4320</v>
      </c>
      <c r="J7" s="128" t="n">
        <v>4.76</v>
      </c>
      <c r="K7" s="128" t="n">
        <v>3.81</v>
      </c>
      <c r="L7" s="128">
        <f>H7+I7</f>
        <v/>
      </c>
      <c r="M7" s="128">
        <f>J7+K7</f>
        <v/>
      </c>
      <c r="N7" s="140">
        <f>L7+M7</f>
        <v/>
      </c>
      <c r="O7" s="129" t="n">
        <v>9728.57</v>
      </c>
      <c r="P7" s="128">
        <f>N7-O7</f>
        <v/>
      </c>
      <c r="Q7" s="142" t="inlineStr">
        <is>
          <t>PVD HIS (legacy) + statement</t>
        </is>
      </c>
    </row>
    <row r="8">
      <c r="B8" s="127" t="n">
        <v>45992</v>
      </c>
      <c r="C8" s="128">
        <f>IFERROR(E8/D8,"N/A")</f>
        <v/>
      </c>
      <c r="D8" s="176" t="n">
        <v>0.15</v>
      </c>
      <c r="E8" s="128" t="n">
        <v>2700</v>
      </c>
      <c r="F8" s="176" t="n">
        <v>0.12</v>
      </c>
      <c r="G8" s="128" t="n">
        <v>2160</v>
      </c>
      <c r="H8" s="129" t="n">
        <v>8100</v>
      </c>
      <c r="I8" s="129" t="n">
        <v>6480</v>
      </c>
      <c r="J8" s="128" t="n">
        <v>29.33</v>
      </c>
      <c r="K8" s="128" t="n">
        <v>23.46</v>
      </c>
      <c r="L8" s="128">
        <f>H8+I8</f>
        <v/>
      </c>
      <c r="M8" s="128">
        <f>J8+K8</f>
        <v/>
      </c>
      <c r="N8" s="140">
        <f>L8+M8</f>
        <v/>
      </c>
      <c r="O8" s="129" t="n">
        <v>14632.79</v>
      </c>
      <c r="P8" s="128">
        <f>N8-O8</f>
        <v/>
      </c>
      <c r="Q8" s="142" t="inlineStr">
        <is>
          <t>PVD HIS (legacy) + statement</t>
        </is>
      </c>
    </row>
    <row r="9">
      <c r="B9" s="127" t="n">
        <v>46023</v>
      </c>
      <c r="C9" s="128">
        <f>IFERROR(E9/D9,"N/A")</f>
        <v/>
      </c>
      <c r="D9" s="176" t="n">
        <v>0.15</v>
      </c>
      <c r="E9" s="128" t="n">
        <v>2841.75</v>
      </c>
      <c r="F9" s="176" t="n">
        <v>0.12</v>
      </c>
      <c r="G9" s="128" t="n">
        <v>2273.4</v>
      </c>
      <c r="H9" s="129" t="n">
        <v>10941.75</v>
      </c>
      <c r="I9" s="129" t="n">
        <v>8753.4</v>
      </c>
      <c r="J9" s="128" t="n">
        <v>12.66</v>
      </c>
      <c r="K9" s="128" t="n">
        <v>10.13</v>
      </c>
      <c r="L9" s="128">
        <f>H9+I9</f>
        <v/>
      </c>
      <c r="M9" s="128">
        <f>J9+K9</f>
        <v/>
      </c>
      <c r="N9" s="140">
        <f>L9+M9</f>
        <v/>
      </c>
      <c r="O9" s="129" t="n">
        <v>19717.94</v>
      </c>
      <c r="P9" s="128">
        <f>N9-O9</f>
        <v/>
      </c>
      <c r="Q9" s="142" t="inlineStr">
        <is>
          <t>PVD HIS (legacy) + statement</t>
        </is>
      </c>
    </row>
    <row r="10">
      <c r="B10" s="127" t="n">
        <v>46054</v>
      </c>
      <c r="C10" s="128">
        <f>IFERROR(E10/D10,"N/A")</f>
        <v/>
      </c>
      <c r="D10" s="176" t="n">
        <v>0.15</v>
      </c>
      <c r="E10" s="128" t="n">
        <v>2841.75</v>
      </c>
      <c r="F10" s="176" t="n">
        <v>0.12</v>
      </c>
      <c r="G10" s="128" t="n">
        <v>2273.4</v>
      </c>
      <c r="H10" s="129" t="n">
        <v>13783.5</v>
      </c>
      <c r="I10" s="129" t="n">
        <v>11026.8</v>
      </c>
      <c r="J10" s="128" t="n">
        <v>86.06999999999999</v>
      </c>
      <c r="K10" s="128" t="n">
        <v>68.84999999999999</v>
      </c>
      <c r="L10" s="128">
        <f>H10+I10</f>
        <v/>
      </c>
      <c r="M10" s="128">
        <f>J10+K10</f>
        <v/>
      </c>
      <c r="N10" s="140">
        <f>L10+M10</f>
        <v/>
      </c>
      <c r="O10" s="129" t="n">
        <v>24965.22</v>
      </c>
      <c r="P10" s="128">
        <f>N10-O10</f>
        <v/>
      </c>
      <c r="Q10" s="142" t="inlineStr">
        <is>
          <t>PVD HIS (legacy) + statement</t>
        </is>
      </c>
    </row>
    <row r="11">
      <c r="B11" s="127" t="n">
        <v>46082</v>
      </c>
      <c r="C11" s="128">
        <f>IFERROR(E11/D11,"N/A")</f>
        <v/>
      </c>
      <c r="D11" s="176" t="n">
        <v>0.15</v>
      </c>
      <c r="E11" s="128" t="n">
        <v>2841.75</v>
      </c>
      <c r="F11" s="176" t="n">
        <v>0.12</v>
      </c>
      <c r="G11" s="128" t="n">
        <v>2273.4</v>
      </c>
      <c r="H11" s="129" t="n">
        <v>16625.25</v>
      </c>
      <c r="I11" s="129" t="n">
        <v>13300.2</v>
      </c>
      <c r="J11" s="128" t="n">
        <v>87.40000000000001</v>
      </c>
      <c r="K11" s="128" t="n">
        <v>69.93000000000001</v>
      </c>
      <c r="L11" s="128">
        <f>H11+I11</f>
        <v/>
      </c>
      <c r="M11" s="128">
        <f>J11+K11</f>
        <v/>
      </c>
      <c r="N11" s="140">
        <f>L11+M11</f>
        <v/>
      </c>
      <c r="O11" s="129" t="n">
        <v>30082.78</v>
      </c>
      <c r="P11" s="128">
        <f>N11-O11</f>
        <v/>
      </c>
      <c r="Q11" s="142" t="inlineStr">
        <is>
          <t>PVD HIS (legacy) + statement</t>
        </is>
      </c>
    </row>
    <row r="12">
      <c r="B12" s="127" t="n">
        <v>46113</v>
      </c>
      <c r="C12" s="128">
        <f>IFERROR(E12/D12,"N/A")</f>
        <v/>
      </c>
      <c r="D12" s="176" t="n">
        <v>0.15</v>
      </c>
      <c r="E12" s="128" t="n">
        <v>2841.75</v>
      </c>
      <c r="F12" s="176" t="n">
        <v>0.12</v>
      </c>
      <c r="G12" s="128" t="n">
        <v>2273.4</v>
      </c>
      <c r="H12" s="129" t="n">
        <v>19467</v>
      </c>
      <c r="I12" s="129" t="n">
        <v>15573.6</v>
      </c>
      <c r="J12" s="128" t="n">
        <v>317.34</v>
      </c>
      <c r="K12" s="128" t="n">
        <v>253.89</v>
      </c>
      <c r="L12" s="128">
        <f>H12+I12</f>
        <v/>
      </c>
      <c r="M12" s="128">
        <f>J12+K12</f>
        <v/>
      </c>
      <c r="N12" s="140">
        <f>L12+M12</f>
        <v/>
      </c>
      <c r="O12" s="129" t="n">
        <v>35611.83</v>
      </c>
      <c r="P12" s="128">
        <f>N12-O12</f>
        <v/>
      </c>
      <c r="Q12" s="142" t="inlineStr">
        <is>
          <t>PVD HIS (legacy) + statement</t>
        </is>
      </c>
    </row>
    <row r="13">
      <c r="B13" s="127" t="n">
        <v>46143</v>
      </c>
      <c r="C13" s="128">
        <f>IFERROR(E13/D13,"N/A")</f>
        <v/>
      </c>
      <c r="D13" s="176" t="n">
        <v>0.15</v>
      </c>
      <c r="E13" s="128" t="n">
        <v>0</v>
      </c>
      <c r="F13" s="176" t="n">
        <v>0.12</v>
      </c>
      <c r="G13" s="128" t="n">
        <v>0</v>
      </c>
      <c r="H13" s="129" t="n">
        <v>19467</v>
      </c>
      <c r="I13" s="129" t="n">
        <v>15573.6</v>
      </c>
      <c r="J13" s="128" t="n">
        <v>692.22</v>
      </c>
      <c r="K13" s="128" t="n">
        <v>553.78</v>
      </c>
      <c r="L13" s="128">
        <f>H13+I13</f>
        <v/>
      </c>
      <c r="M13" s="128">
        <f>J13+K13</f>
        <v/>
      </c>
      <c r="N13" s="140">
        <f>L13+M13</f>
        <v/>
      </c>
      <c r="O13" s="129" t="n">
        <v>36286.6</v>
      </c>
      <c r="P13" s="128">
        <f>N13-O13</f>
        <v/>
      </c>
      <c r="Q13" s="142" t="inlineStr">
        <is>
          <t>PVD HIS (legacy) + statement</t>
        </is>
      </c>
    </row>
    <row r="14">
      <c r="B14" s="127" t="n">
        <v>46174</v>
      </c>
      <c r="C14" s="128">
        <f>IFERROR(E14/D14,"N/A")</f>
        <v/>
      </c>
      <c r="D14" s="176" t="n">
        <v>0.15</v>
      </c>
      <c r="E14" s="128" t="n">
        <v>5683.5</v>
      </c>
      <c r="F14" s="176" t="n">
        <v>0.12</v>
      </c>
      <c r="G14" s="128" t="n">
        <v>4546.8</v>
      </c>
      <c r="H14" s="129" t="n">
        <v>25150.5</v>
      </c>
      <c r="I14" s="129" t="n">
        <v>20120.4</v>
      </c>
      <c r="J14" s="128" t="n">
        <v>996.66</v>
      </c>
      <c r="K14" s="128" t="n">
        <v>797.35</v>
      </c>
      <c r="L14" s="128">
        <f>H14+I14</f>
        <v/>
      </c>
      <c r="M14" s="128">
        <f>J14+K14</f>
        <v/>
      </c>
      <c r="N14" s="140">
        <f>L14+M14</f>
        <v/>
      </c>
      <c r="O14" s="129" t="n">
        <v>47064.91</v>
      </c>
      <c r="P14" s="128">
        <f>N14-O14</f>
        <v/>
      </c>
      <c r="Q14" s="142" t="inlineStr">
        <is>
          <t>PVD HIS (legacy) + statement</t>
        </is>
      </c>
    </row>
    <row r="15">
      <c r="B15" s="127" t="n">
        <v>46204</v>
      </c>
      <c r="C15" s="128">
        <f>IFERROR(E15/D15,"N/A")</f>
        <v/>
      </c>
      <c r="D15" s="176" t="n">
        <v>0.15</v>
      </c>
      <c r="E15" s="128" t="n">
        <v>0</v>
      </c>
      <c r="F15" s="176" t="n">
        <v>0.12</v>
      </c>
      <c r="G15" s="128" t="n">
        <v>0</v>
      </c>
      <c r="H15" s="129" t="n">
        <v>25150.5</v>
      </c>
      <c r="I15" s="129" t="n">
        <v>20120.4</v>
      </c>
      <c r="J15" s="128" t="n">
        <v>1488.94</v>
      </c>
      <c r="K15" s="128" t="n">
        <v>1191.16</v>
      </c>
      <c r="L15" s="128">
        <f>H15+I15</f>
        <v/>
      </c>
      <c r="M15" s="128">
        <f>J15+K15</f>
        <v/>
      </c>
      <c r="N15" s="140">
        <f>L15+M15</f>
        <v/>
      </c>
      <c r="O15" s="129" t="n">
        <v>47951</v>
      </c>
      <c r="P15" s="128">
        <f>N15-O15</f>
        <v/>
      </c>
      <c r="Q15" s="142" t="inlineStr">
        <is>
          <t>PVD HIS (legacy) + statement</t>
        </is>
      </c>
    </row>
    <row r="16">
      <c r="B16" s="127" t="n">
        <v>46235</v>
      </c>
      <c r="C16" s="128">
        <f>IFERROR(E16/D16,"N/A")</f>
        <v/>
      </c>
      <c r="D16" s="176" t="n">
        <v>0.15</v>
      </c>
      <c r="E16" s="128" t="n">
        <v>5683.5</v>
      </c>
      <c r="F16" s="176" t="n">
        <v>0.12</v>
      </c>
      <c r="G16" s="128" t="n">
        <v>4546.8</v>
      </c>
      <c r="H16" s="129" t="n">
        <v>30834</v>
      </c>
      <c r="I16" s="129" t="n">
        <v>24667.2</v>
      </c>
      <c r="J16" s="128" t="n">
        <v>1512.69</v>
      </c>
      <c r="K16" s="128" t="n">
        <v>1210.17</v>
      </c>
      <c r="L16" s="128">
        <f>H16+I16</f>
        <v/>
      </c>
      <c r="M16" s="128">
        <f>J16+K16</f>
        <v/>
      </c>
      <c r="N16" s="140">
        <f>L16+M16</f>
        <v/>
      </c>
      <c r="O16" s="129" t="n">
        <v>58224.06</v>
      </c>
      <c r="P16" s="128">
        <f>N16-O16</f>
        <v/>
      </c>
      <c r="Q16" s="142" t="inlineStr">
        <is>
          <t>PVD HIS (legacy) + statement</t>
        </is>
      </c>
    </row>
    <row r="17">
      <c r="B17" s="127" t="n">
        <v>46266</v>
      </c>
      <c r="C17" s="128">
        <f>IFERROR(E17/D17,"N/A")</f>
        <v/>
      </c>
      <c r="D17" s="176" t="n">
        <v>0.15</v>
      </c>
      <c r="E17" s="128" t="n">
        <v>0</v>
      </c>
      <c r="F17" s="176" t="n">
        <v>0.12</v>
      </c>
      <c r="G17" s="128" t="n">
        <v>0</v>
      </c>
      <c r="H17" s="129" t="n">
        <v>30834</v>
      </c>
      <c r="I17" s="129" t="n">
        <v>24667.2</v>
      </c>
      <c r="J17" s="128" t="n">
        <v>1627.66</v>
      </c>
      <c r="K17" s="128" t="n">
        <v>1302.15</v>
      </c>
      <c r="L17" s="128">
        <f>H17+I17</f>
        <v/>
      </c>
      <c r="M17" s="128">
        <f>J17+K17</f>
        <v/>
      </c>
      <c r="N17" s="140">
        <f>L17+M17</f>
        <v/>
      </c>
      <c r="O17" s="129" t="n">
        <v>58431.01</v>
      </c>
      <c r="P17" s="128">
        <f>N17-O17</f>
        <v/>
      </c>
      <c r="Q17" s="142" t="inlineStr">
        <is>
          <t>PVD HIS (legacy) + statement</t>
        </is>
      </c>
    </row>
    <row r="19">
      <c r="B19" s="177" t="inlineStr">
        <is>
          <t>✔ ตรวจสอบแล้ว: เงินสะสม + เงินสมทบ + ผลประโยชน์ทั้งสองส่วน = Ending Balance ตรงกันทุกเดือน (Difference = 0) | หมายเหตุ: บางเดือนนายจ้างนำส่ง 2 งวดรวมกัน (พ.ค./ก.ค./ก.ย. ยอดไม่เพิ่ม, มิ.ย./ส.ค. เพิ่ม 2 เท่า)</t>
        </is>
      </c>
    </row>
  </sheetData>
  <mergeCells count="1">
    <mergeCell ref="B19:Q19"/>
  </mergeCells>
  <conditionalFormatting sqref="P6:P17">
    <cfRule type="cellIs" priority="1" operator="notBetween" dxfId="5">
      <formula>-0.01</formula>
      <formula>0.01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D97706"/>
    <outlinePr summaryBelow="1" summaryRight="1"/>
    <pageSetUpPr/>
  </sheetPr>
  <dimension ref="B2:I9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4" customWidth="1" min="3" max="3"/>
    <col width="15" customWidth="1" min="4" max="4"/>
    <col width="15" customWidth="1" min="5" max="5"/>
    <col width="15" customWidth="1" min="6" max="6"/>
    <col width="13" customWidth="1" min="7" max="7"/>
    <col width="16" customWidth="1" min="8" max="8"/>
    <col width="40" customWidth="1" min="9" max="9"/>
  </cols>
  <sheetData>
    <row r="2" ht="26" customHeight="1">
      <c r="B2" s="124" t="inlineStr">
        <is>
          <t>10_BUDGET — งบประมาณรายเดือน</t>
        </is>
      </c>
    </row>
    <row r="3" ht="14" customHeight="1">
      <c r="B3" s="125" t="inlineStr">
        <is>
          <t>Budget จากแผนในไฟล์เดิม | Actual ดึงจาก 04_TRANSACTIONS ตาม Subcategory และเดือน</t>
        </is>
      </c>
    </row>
    <row r="5" ht="30" customHeight="1">
      <c r="B5" s="126" t="inlineStr">
        <is>
          <t>Month</t>
        </is>
      </c>
      <c r="C5" s="126" t="inlineStr">
        <is>
          <t>Category</t>
        </is>
      </c>
      <c r="D5" s="126" t="inlineStr">
        <is>
          <t>Budget</t>
        </is>
      </c>
      <c r="E5" s="126" t="inlineStr">
        <is>
          <t>Actual</t>
        </is>
      </c>
      <c r="F5" s="126" t="inlineStr">
        <is>
          <t>Difference</t>
        </is>
      </c>
      <c r="G5" s="126" t="inlineStr">
        <is>
          <t>Usage %</t>
        </is>
      </c>
      <c r="H5" s="126" t="inlineStr">
        <is>
          <t>Status</t>
        </is>
      </c>
      <c r="I5" s="126" t="inlineStr">
        <is>
          <t>Note</t>
        </is>
      </c>
    </row>
    <row r="6">
      <c r="B6" s="127" t="n">
        <v>45839</v>
      </c>
      <c r="C6" s="136" t="inlineStr">
        <is>
          <t>Daily Expenses</t>
        </is>
      </c>
      <c r="D6" s="174" t="n">
        <v>7000</v>
      </c>
      <c r="E6" s="174">
        <f>IFERROR(SUMIFS(tblTx[THB Equivalent],tblTx[Subcategory],[@Category],tblTx[Date],"&gt;="&amp;DATE(2025,7,1),tblTx[Date],"&lt;="&amp;EOMONTH(DATE(2025,7,1),0)),0)</f>
        <v/>
      </c>
      <c r="F6" s="174">
        <f>D6-E6</f>
        <v/>
      </c>
      <c r="G6" s="132">
        <f>IFERROR(E6/D6,0)</f>
        <v/>
      </c>
      <c r="H6" s="137">
        <f>IF(G6&gt;1,"Over Budget",IF(G6&gt;=0.9,"Warning","Normal"))</f>
        <v/>
      </c>
      <c r="I6" s="142" t="inlineStr">
        <is>
          <t>Fixed 1,200 (iCloud+YouTube 500 + DTAC 700) + Variable 5,800</t>
        </is>
      </c>
    </row>
    <row r="7">
      <c r="B7" s="127" t="n">
        <v>45839</v>
      </c>
      <c r="C7" s="136" t="inlineStr">
        <is>
          <t>Cat</t>
        </is>
      </c>
      <c r="D7" s="174" t="n">
        <v>2000</v>
      </c>
      <c r="E7" s="174">
        <f>IFERROR(SUMIFS(tblTx[THB Equivalent],tblTx[Subcategory],[@Category],tblTx[Date],"&gt;="&amp;DATE(2025,7,1),tblTx[Date],"&lt;="&amp;EOMONTH(DATE(2025,7,1),0)),0)</f>
        <v/>
      </c>
      <c r="F7" s="174">
        <f>D7-E7</f>
        <v/>
      </c>
      <c r="G7" s="132">
        <f>IFERROR(E7/D7,0)</f>
        <v/>
      </c>
      <c r="H7" s="137">
        <f>IF(G7&gt;1,"Over Budget",IF(G7&gt;=0.9,"Warning","Normal"))</f>
        <v/>
      </c>
      <c r="I7" s="142" t="inlineStr">
        <is>
          <t>ค่าแมว</t>
        </is>
      </c>
    </row>
    <row r="8">
      <c r="B8" s="127" t="n">
        <v>45839</v>
      </c>
      <c r="C8" s="136" t="inlineStr">
        <is>
          <t>Parking</t>
        </is>
      </c>
      <c r="D8" s="174" t="n">
        <v>1600</v>
      </c>
      <c r="E8" s="174">
        <f>IFERROR(SUMIFS(tblTx[THB Equivalent],tblTx[Subcategory],[@Category],tblTx[Date],"&gt;="&amp;DATE(2025,7,1),tblTx[Date],"&lt;="&amp;EOMONTH(DATE(2025,7,1),0)),0)</f>
        <v/>
      </c>
      <c r="F8" s="174">
        <f>D8-E8</f>
        <v/>
      </c>
      <c r="G8" s="132">
        <f>IFERROR(E8/D8,0)</f>
        <v/>
      </c>
      <c r="H8" s="137">
        <f>IF(G8&gt;1,"Over Budget",IF(G8&gt;=0.9,"Warning","Normal"))</f>
        <v/>
      </c>
      <c r="I8" s="142" t="inlineStr">
        <is>
          <t>หักจากเงินเดือน</t>
        </is>
      </c>
    </row>
    <row r="9">
      <c r="B9" s="127" t="n">
        <v>45839</v>
      </c>
      <c r="C9" s="136" t="inlineStr">
        <is>
          <t>US Stocks</t>
        </is>
      </c>
      <c r="D9" s="174" t="n">
        <v>3000</v>
      </c>
      <c r="E9" s="174">
        <f>IFERROR(SUMIFS(tblTx[THB Equivalent],tblTx[Subcategory],[@Category],tblTx[Date],"&gt;="&amp;DATE(2025,7,1),tblTx[Date],"&lt;="&amp;EOMONTH(DATE(2025,7,1),0)),0)</f>
        <v/>
      </c>
      <c r="F9" s="174">
        <f>D9-E9</f>
        <v/>
      </c>
      <c r="G9" s="132">
        <f>IFERROR(E9/D9,0)</f>
        <v/>
      </c>
      <c r="H9" s="137">
        <f>IF(G9&gt;1,"Over Budget",IF(G9&gt;=0.9,"Warning","Normal"))</f>
        <v/>
      </c>
      <c r="I9" s="142" t="inlineStr">
        <is>
          <t>DCA หุ้นสหรัฐ</t>
        </is>
      </c>
    </row>
    <row r="10">
      <c r="B10" s="127" t="n">
        <v>45839</v>
      </c>
      <c r="C10" s="136" t="inlineStr">
        <is>
          <t>Investment Reserve</t>
        </is>
      </c>
      <c r="D10" s="174" t="n">
        <v>1000</v>
      </c>
      <c r="E10" s="174">
        <f>IFERROR(SUMIFS(tblTx[THB Equivalent],tblTx[Subcategory],[@Category],tblTx[Date],"&gt;="&amp;DATE(2025,7,1),tblTx[Date],"&lt;="&amp;EOMONTH(DATE(2025,7,1),0)),0)</f>
        <v/>
      </c>
      <c r="F10" s="174">
        <f>D10-E10</f>
        <v/>
      </c>
      <c r="G10" s="132">
        <f>IFERROR(E10/D10,0)</f>
        <v/>
      </c>
      <c r="H10" s="137">
        <f>IF(G10&gt;1,"Over Budget",IF(G10&gt;=0.9,"Warning","Normal"))</f>
        <v/>
      </c>
      <c r="I10" s="142" t="inlineStr">
        <is>
          <t>เงินสำรองเพื่อการลงทุน</t>
        </is>
      </c>
    </row>
    <row r="11">
      <c r="B11" s="127" t="n">
        <v>45839</v>
      </c>
      <c r="C11" s="136" t="inlineStr">
        <is>
          <t>PVD</t>
        </is>
      </c>
      <c r="D11" s="174" t="n">
        <v>2842</v>
      </c>
      <c r="E11" s="174">
        <f>IFERROR(SUMIFS(tblTx[THB Equivalent],tblTx[Subcategory],[@Category],tblTx[Date],"&gt;="&amp;DATE(2025,7,1),tblTx[Date],"&lt;="&amp;EOMONTH(DATE(2025,7,1),0)),0)</f>
        <v/>
      </c>
      <c r="F11" s="174">
        <f>D11-E11</f>
        <v/>
      </c>
      <c r="G11" s="132">
        <f>IFERROR(E11/D11,0)</f>
        <v/>
      </c>
      <c r="H11" s="137">
        <f>IF(G11&gt;1,"Over Budget",IF(G11&gt;=0.9,"Warning","Normal"))</f>
        <v/>
      </c>
      <c r="I11" s="142" t="inlineStr">
        <is>
          <t>เงินสะสมพนักงาน 15% (หักจากเงินเดือน)</t>
        </is>
      </c>
    </row>
    <row r="12">
      <c r="B12" s="127" t="n">
        <v>45870</v>
      </c>
      <c r="C12" s="136" t="inlineStr">
        <is>
          <t>Daily Expenses</t>
        </is>
      </c>
      <c r="D12" s="174" t="n">
        <v>7000</v>
      </c>
      <c r="E12" s="174">
        <f>IFERROR(SUMIFS(tblTx[THB Equivalent],tblTx[Subcategory],[@Category],tblTx[Date],"&gt;="&amp;DATE(2025,8,1),tblTx[Date],"&lt;="&amp;EOMONTH(DATE(2025,8,1),0)),0)</f>
        <v/>
      </c>
      <c r="F12" s="174">
        <f>D12-E12</f>
        <v/>
      </c>
      <c r="G12" s="132">
        <f>IFERROR(E12/D12,0)</f>
        <v/>
      </c>
      <c r="H12" s="137">
        <f>IF(G12&gt;1,"Over Budget",IF(G12&gt;=0.9,"Warning","Normal"))</f>
        <v/>
      </c>
      <c r="I12" s="142" t="inlineStr">
        <is>
          <t>Fixed 1,200 (iCloud+YouTube 500 + DTAC 700) + Variable 5,800</t>
        </is>
      </c>
    </row>
    <row r="13">
      <c r="B13" s="127" t="n">
        <v>45870</v>
      </c>
      <c r="C13" s="136" t="inlineStr">
        <is>
          <t>Cat</t>
        </is>
      </c>
      <c r="D13" s="174" t="n">
        <v>2000</v>
      </c>
      <c r="E13" s="174">
        <f>IFERROR(SUMIFS(tblTx[THB Equivalent],tblTx[Subcategory],[@Category],tblTx[Date],"&gt;="&amp;DATE(2025,8,1),tblTx[Date],"&lt;="&amp;EOMONTH(DATE(2025,8,1),0)),0)</f>
        <v/>
      </c>
      <c r="F13" s="174">
        <f>D13-E13</f>
        <v/>
      </c>
      <c r="G13" s="132">
        <f>IFERROR(E13/D13,0)</f>
        <v/>
      </c>
      <c r="H13" s="137">
        <f>IF(G13&gt;1,"Over Budget",IF(G13&gt;=0.9,"Warning","Normal"))</f>
        <v/>
      </c>
      <c r="I13" s="142" t="inlineStr">
        <is>
          <t>ค่าแมว</t>
        </is>
      </c>
    </row>
    <row r="14">
      <c r="B14" s="127" t="n">
        <v>45870</v>
      </c>
      <c r="C14" s="136" t="inlineStr">
        <is>
          <t>Parking</t>
        </is>
      </c>
      <c r="D14" s="174" t="n">
        <v>1600</v>
      </c>
      <c r="E14" s="174">
        <f>IFERROR(SUMIFS(tblTx[THB Equivalent],tblTx[Subcategory],[@Category],tblTx[Date],"&gt;="&amp;DATE(2025,8,1),tblTx[Date],"&lt;="&amp;EOMONTH(DATE(2025,8,1),0)),0)</f>
        <v/>
      </c>
      <c r="F14" s="174">
        <f>D14-E14</f>
        <v/>
      </c>
      <c r="G14" s="132">
        <f>IFERROR(E14/D14,0)</f>
        <v/>
      </c>
      <c r="H14" s="137">
        <f>IF(G14&gt;1,"Over Budget",IF(G14&gt;=0.9,"Warning","Normal"))</f>
        <v/>
      </c>
      <c r="I14" s="142" t="inlineStr">
        <is>
          <t>หักจากเงินเดือน</t>
        </is>
      </c>
    </row>
    <row r="15">
      <c r="B15" s="127" t="n">
        <v>45870</v>
      </c>
      <c r="C15" s="136" t="inlineStr">
        <is>
          <t>US Stocks</t>
        </is>
      </c>
      <c r="D15" s="174" t="n">
        <v>3000</v>
      </c>
      <c r="E15" s="174">
        <f>IFERROR(SUMIFS(tblTx[THB Equivalent],tblTx[Subcategory],[@Category],tblTx[Date],"&gt;="&amp;DATE(2025,8,1),tblTx[Date],"&lt;="&amp;EOMONTH(DATE(2025,8,1),0)),0)</f>
        <v/>
      </c>
      <c r="F15" s="174">
        <f>D15-E15</f>
        <v/>
      </c>
      <c r="G15" s="132">
        <f>IFERROR(E15/D15,0)</f>
        <v/>
      </c>
      <c r="H15" s="137">
        <f>IF(G15&gt;1,"Over Budget",IF(G15&gt;=0.9,"Warning","Normal"))</f>
        <v/>
      </c>
      <c r="I15" s="142" t="inlineStr">
        <is>
          <t>DCA หุ้นสหรัฐ</t>
        </is>
      </c>
    </row>
    <row r="16">
      <c r="B16" s="127" t="n">
        <v>45870</v>
      </c>
      <c r="C16" s="136" t="inlineStr">
        <is>
          <t>Investment Reserve</t>
        </is>
      </c>
      <c r="D16" s="174" t="n">
        <v>1000</v>
      </c>
      <c r="E16" s="174">
        <f>IFERROR(SUMIFS(tblTx[THB Equivalent],tblTx[Subcategory],[@Category],tblTx[Date],"&gt;="&amp;DATE(2025,8,1),tblTx[Date],"&lt;="&amp;EOMONTH(DATE(2025,8,1),0)),0)</f>
        <v/>
      </c>
      <c r="F16" s="174">
        <f>D16-E16</f>
        <v/>
      </c>
      <c r="G16" s="132">
        <f>IFERROR(E16/D16,0)</f>
        <v/>
      </c>
      <c r="H16" s="137">
        <f>IF(G16&gt;1,"Over Budget",IF(G16&gt;=0.9,"Warning","Normal"))</f>
        <v/>
      </c>
      <c r="I16" s="142" t="inlineStr">
        <is>
          <t>เงินสำรองเพื่อการลงทุน</t>
        </is>
      </c>
    </row>
    <row r="17">
      <c r="B17" s="127" t="n">
        <v>45870</v>
      </c>
      <c r="C17" s="136" t="inlineStr">
        <is>
          <t>PVD</t>
        </is>
      </c>
      <c r="D17" s="174" t="n">
        <v>2842</v>
      </c>
      <c r="E17" s="174">
        <f>IFERROR(SUMIFS(tblTx[THB Equivalent],tblTx[Subcategory],[@Category],tblTx[Date],"&gt;="&amp;DATE(2025,8,1),tblTx[Date],"&lt;="&amp;EOMONTH(DATE(2025,8,1),0)),0)</f>
        <v/>
      </c>
      <c r="F17" s="174">
        <f>D17-E17</f>
        <v/>
      </c>
      <c r="G17" s="132">
        <f>IFERROR(E17/D17,0)</f>
        <v/>
      </c>
      <c r="H17" s="137">
        <f>IF(G17&gt;1,"Over Budget",IF(G17&gt;=0.9,"Warning","Normal"))</f>
        <v/>
      </c>
      <c r="I17" s="142" t="inlineStr">
        <is>
          <t>เงินสะสมพนักงาน 15% (หักจากเงินเดือน)</t>
        </is>
      </c>
    </row>
    <row r="18">
      <c r="B18" s="127" t="n">
        <v>45901</v>
      </c>
      <c r="C18" s="136" t="inlineStr">
        <is>
          <t>Daily Expenses</t>
        </is>
      </c>
      <c r="D18" s="174" t="n">
        <v>7000</v>
      </c>
      <c r="E18" s="174">
        <f>IFERROR(SUMIFS(tblTx[THB Equivalent],tblTx[Subcategory],[@Category],tblTx[Date],"&gt;="&amp;DATE(2025,9,1),tblTx[Date],"&lt;="&amp;EOMONTH(DATE(2025,9,1),0)),0)</f>
        <v/>
      </c>
      <c r="F18" s="174">
        <f>D18-E18</f>
        <v/>
      </c>
      <c r="G18" s="132">
        <f>IFERROR(E18/D18,0)</f>
        <v/>
      </c>
      <c r="H18" s="137">
        <f>IF(G18&gt;1,"Over Budget",IF(G18&gt;=0.9,"Warning","Normal"))</f>
        <v/>
      </c>
      <c r="I18" s="142" t="inlineStr">
        <is>
          <t>Fixed 1,200 (iCloud+YouTube 500 + DTAC 700) + Variable 5,800</t>
        </is>
      </c>
    </row>
    <row r="19">
      <c r="B19" s="127" t="n">
        <v>45901</v>
      </c>
      <c r="C19" s="136" t="inlineStr">
        <is>
          <t>Cat</t>
        </is>
      </c>
      <c r="D19" s="174" t="n">
        <v>2000</v>
      </c>
      <c r="E19" s="174">
        <f>IFERROR(SUMIFS(tblTx[THB Equivalent],tblTx[Subcategory],[@Category],tblTx[Date],"&gt;="&amp;DATE(2025,9,1),tblTx[Date],"&lt;="&amp;EOMONTH(DATE(2025,9,1),0)),0)</f>
        <v/>
      </c>
      <c r="F19" s="174">
        <f>D19-E19</f>
        <v/>
      </c>
      <c r="G19" s="132">
        <f>IFERROR(E19/D19,0)</f>
        <v/>
      </c>
      <c r="H19" s="137">
        <f>IF(G19&gt;1,"Over Budget",IF(G19&gt;=0.9,"Warning","Normal"))</f>
        <v/>
      </c>
      <c r="I19" s="142" t="inlineStr">
        <is>
          <t>ค่าแมว</t>
        </is>
      </c>
    </row>
    <row r="20">
      <c r="B20" s="127" t="n">
        <v>45901</v>
      </c>
      <c r="C20" s="136" t="inlineStr">
        <is>
          <t>Parking</t>
        </is>
      </c>
      <c r="D20" s="174" t="n">
        <v>1600</v>
      </c>
      <c r="E20" s="174">
        <f>IFERROR(SUMIFS(tblTx[THB Equivalent],tblTx[Subcategory],[@Category],tblTx[Date],"&gt;="&amp;DATE(2025,9,1),tblTx[Date],"&lt;="&amp;EOMONTH(DATE(2025,9,1),0)),0)</f>
        <v/>
      </c>
      <c r="F20" s="174">
        <f>D20-E20</f>
        <v/>
      </c>
      <c r="G20" s="132">
        <f>IFERROR(E20/D20,0)</f>
        <v/>
      </c>
      <c r="H20" s="137">
        <f>IF(G20&gt;1,"Over Budget",IF(G20&gt;=0.9,"Warning","Normal"))</f>
        <v/>
      </c>
      <c r="I20" s="142" t="inlineStr">
        <is>
          <t>หักจากเงินเดือน</t>
        </is>
      </c>
    </row>
    <row r="21">
      <c r="B21" s="127" t="n">
        <v>45901</v>
      </c>
      <c r="C21" s="136" t="inlineStr">
        <is>
          <t>US Stocks</t>
        </is>
      </c>
      <c r="D21" s="174" t="n">
        <v>3000</v>
      </c>
      <c r="E21" s="174">
        <f>IFERROR(SUMIFS(tblTx[THB Equivalent],tblTx[Subcategory],[@Category],tblTx[Date],"&gt;="&amp;DATE(2025,9,1),tblTx[Date],"&lt;="&amp;EOMONTH(DATE(2025,9,1),0)),0)</f>
        <v/>
      </c>
      <c r="F21" s="174">
        <f>D21-E21</f>
        <v/>
      </c>
      <c r="G21" s="132">
        <f>IFERROR(E21/D21,0)</f>
        <v/>
      </c>
      <c r="H21" s="137">
        <f>IF(G21&gt;1,"Over Budget",IF(G21&gt;=0.9,"Warning","Normal"))</f>
        <v/>
      </c>
      <c r="I21" s="142" t="inlineStr">
        <is>
          <t>DCA หุ้นสหรัฐ</t>
        </is>
      </c>
    </row>
    <row r="22">
      <c r="B22" s="127" t="n">
        <v>45901</v>
      </c>
      <c r="C22" s="136" t="inlineStr">
        <is>
          <t>Investment Reserve</t>
        </is>
      </c>
      <c r="D22" s="174" t="n">
        <v>1000</v>
      </c>
      <c r="E22" s="174">
        <f>IFERROR(SUMIFS(tblTx[THB Equivalent],tblTx[Subcategory],[@Category],tblTx[Date],"&gt;="&amp;DATE(2025,9,1),tblTx[Date],"&lt;="&amp;EOMONTH(DATE(2025,9,1),0)),0)</f>
        <v/>
      </c>
      <c r="F22" s="174">
        <f>D22-E22</f>
        <v/>
      </c>
      <c r="G22" s="132">
        <f>IFERROR(E22/D22,0)</f>
        <v/>
      </c>
      <c r="H22" s="137">
        <f>IF(G22&gt;1,"Over Budget",IF(G22&gt;=0.9,"Warning","Normal"))</f>
        <v/>
      </c>
      <c r="I22" s="142" t="inlineStr">
        <is>
          <t>เงินสำรองเพื่อการลงทุน</t>
        </is>
      </c>
    </row>
    <row r="23">
      <c r="B23" s="127" t="n">
        <v>45901</v>
      </c>
      <c r="C23" s="136" t="inlineStr">
        <is>
          <t>PVD</t>
        </is>
      </c>
      <c r="D23" s="174" t="n">
        <v>2842</v>
      </c>
      <c r="E23" s="174">
        <f>IFERROR(SUMIFS(tblTx[THB Equivalent],tblTx[Subcategory],[@Category],tblTx[Date],"&gt;="&amp;DATE(2025,9,1),tblTx[Date],"&lt;="&amp;EOMONTH(DATE(2025,9,1),0)),0)</f>
        <v/>
      </c>
      <c r="F23" s="174">
        <f>D23-E23</f>
        <v/>
      </c>
      <c r="G23" s="132">
        <f>IFERROR(E23/D23,0)</f>
        <v/>
      </c>
      <c r="H23" s="137">
        <f>IF(G23&gt;1,"Over Budget",IF(G23&gt;=0.9,"Warning","Normal"))</f>
        <v/>
      </c>
      <c r="I23" s="142" t="inlineStr">
        <is>
          <t>เงินสะสมพนักงาน 15% (หักจากเงินเดือน)</t>
        </is>
      </c>
    </row>
    <row r="24">
      <c r="B24" s="127" t="n">
        <v>45931</v>
      </c>
      <c r="C24" s="136" t="inlineStr">
        <is>
          <t>Daily Expenses</t>
        </is>
      </c>
      <c r="D24" s="174" t="n">
        <v>7000</v>
      </c>
      <c r="E24" s="174">
        <f>IFERROR(SUMIFS(tblTx[THB Equivalent],tblTx[Subcategory],[@Category],tblTx[Date],"&gt;="&amp;DATE(2025,10,1),tblTx[Date],"&lt;="&amp;EOMONTH(DATE(2025,10,1),0)),0)</f>
        <v/>
      </c>
      <c r="F24" s="174">
        <f>D24-E24</f>
        <v/>
      </c>
      <c r="G24" s="132">
        <f>IFERROR(E24/D24,0)</f>
        <v/>
      </c>
      <c r="H24" s="137">
        <f>IF(G24&gt;1,"Over Budget",IF(G24&gt;=0.9,"Warning","Normal"))</f>
        <v/>
      </c>
      <c r="I24" s="142" t="inlineStr">
        <is>
          <t>Fixed 1,200 (iCloud+YouTube 500 + DTAC 700) + Variable 5,800</t>
        </is>
      </c>
    </row>
    <row r="25">
      <c r="B25" s="127" t="n">
        <v>45931</v>
      </c>
      <c r="C25" s="136" t="inlineStr">
        <is>
          <t>Cat</t>
        </is>
      </c>
      <c r="D25" s="174" t="n">
        <v>2000</v>
      </c>
      <c r="E25" s="174">
        <f>IFERROR(SUMIFS(tblTx[THB Equivalent],tblTx[Subcategory],[@Category],tblTx[Date],"&gt;="&amp;DATE(2025,10,1),tblTx[Date],"&lt;="&amp;EOMONTH(DATE(2025,10,1),0)),0)</f>
        <v/>
      </c>
      <c r="F25" s="174">
        <f>D25-E25</f>
        <v/>
      </c>
      <c r="G25" s="132">
        <f>IFERROR(E25/D25,0)</f>
        <v/>
      </c>
      <c r="H25" s="137">
        <f>IF(G25&gt;1,"Over Budget",IF(G25&gt;=0.9,"Warning","Normal"))</f>
        <v/>
      </c>
      <c r="I25" s="142" t="inlineStr">
        <is>
          <t>ค่าแมว</t>
        </is>
      </c>
    </row>
    <row r="26">
      <c r="B26" s="127" t="n">
        <v>45931</v>
      </c>
      <c r="C26" s="136" t="inlineStr">
        <is>
          <t>Parking</t>
        </is>
      </c>
      <c r="D26" s="174" t="n">
        <v>1600</v>
      </c>
      <c r="E26" s="174">
        <f>IFERROR(SUMIFS(tblTx[THB Equivalent],tblTx[Subcategory],[@Category],tblTx[Date],"&gt;="&amp;DATE(2025,10,1),tblTx[Date],"&lt;="&amp;EOMONTH(DATE(2025,10,1),0)),0)</f>
        <v/>
      </c>
      <c r="F26" s="174">
        <f>D26-E26</f>
        <v/>
      </c>
      <c r="G26" s="132">
        <f>IFERROR(E26/D26,0)</f>
        <v/>
      </c>
      <c r="H26" s="137">
        <f>IF(G26&gt;1,"Over Budget",IF(G26&gt;=0.9,"Warning","Normal"))</f>
        <v/>
      </c>
      <c r="I26" s="142" t="inlineStr">
        <is>
          <t>หักจากเงินเดือน</t>
        </is>
      </c>
    </row>
    <row r="27">
      <c r="B27" s="127" t="n">
        <v>45931</v>
      </c>
      <c r="C27" s="136" t="inlineStr">
        <is>
          <t>US Stocks</t>
        </is>
      </c>
      <c r="D27" s="174" t="n">
        <v>3000</v>
      </c>
      <c r="E27" s="174">
        <f>IFERROR(SUMIFS(tblTx[THB Equivalent],tblTx[Subcategory],[@Category],tblTx[Date],"&gt;="&amp;DATE(2025,10,1),tblTx[Date],"&lt;="&amp;EOMONTH(DATE(2025,10,1),0)),0)</f>
        <v/>
      </c>
      <c r="F27" s="174">
        <f>D27-E27</f>
        <v/>
      </c>
      <c r="G27" s="132">
        <f>IFERROR(E27/D27,0)</f>
        <v/>
      </c>
      <c r="H27" s="137">
        <f>IF(G27&gt;1,"Over Budget",IF(G27&gt;=0.9,"Warning","Normal"))</f>
        <v/>
      </c>
      <c r="I27" s="142" t="inlineStr">
        <is>
          <t>DCA หุ้นสหรัฐ</t>
        </is>
      </c>
    </row>
    <row r="28">
      <c r="B28" s="127" t="n">
        <v>45931</v>
      </c>
      <c r="C28" s="136" t="inlineStr">
        <is>
          <t>Investment Reserve</t>
        </is>
      </c>
      <c r="D28" s="174" t="n">
        <v>1000</v>
      </c>
      <c r="E28" s="174">
        <f>IFERROR(SUMIFS(tblTx[THB Equivalent],tblTx[Subcategory],[@Category],tblTx[Date],"&gt;="&amp;DATE(2025,10,1),tblTx[Date],"&lt;="&amp;EOMONTH(DATE(2025,10,1),0)),0)</f>
        <v/>
      </c>
      <c r="F28" s="174">
        <f>D28-E28</f>
        <v/>
      </c>
      <c r="G28" s="132">
        <f>IFERROR(E28/D28,0)</f>
        <v/>
      </c>
      <c r="H28" s="137">
        <f>IF(G28&gt;1,"Over Budget",IF(G28&gt;=0.9,"Warning","Normal"))</f>
        <v/>
      </c>
      <c r="I28" s="142" t="inlineStr">
        <is>
          <t>เงินสำรองเพื่อการลงทุน</t>
        </is>
      </c>
    </row>
    <row r="29">
      <c r="B29" s="127" t="n">
        <v>45931</v>
      </c>
      <c r="C29" s="136" t="inlineStr">
        <is>
          <t>PVD</t>
        </is>
      </c>
      <c r="D29" s="174" t="n">
        <v>2842</v>
      </c>
      <c r="E29" s="174">
        <f>IFERROR(SUMIFS(tblTx[THB Equivalent],tblTx[Subcategory],[@Category],tblTx[Date],"&gt;="&amp;DATE(2025,10,1),tblTx[Date],"&lt;="&amp;EOMONTH(DATE(2025,10,1),0)),0)</f>
        <v/>
      </c>
      <c r="F29" s="174">
        <f>D29-E29</f>
        <v/>
      </c>
      <c r="G29" s="132">
        <f>IFERROR(E29/D29,0)</f>
        <v/>
      </c>
      <c r="H29" s="137">
        <f>IF(G29&gt;1,"Over Budget",IF(G29&gt;=0.9,"Warning","Normal"))</f>
        <v/>
      </c>
      <c r="I29" s="142" t="inlineStr">
        <is>
          <t>เงินสะสมพนักงาน 15% (หักจากเงินเดือน)</t>
        </is>
      </c>
    </row>
    <row r="30">
      <c r="B30" s="127" t="n">
        <v>45962</v>
      </c>
      <c r="C30" s="136" t="inlineStr">
        <is>
          <t>Daily Expenses</t>
        </is>
      </c>
      <c r="D30" s="174" t="n">
        <v>7000</v>
      </c>
      <c r="E30" s="174">
        <f>IFERROR(SUMIFS(tblTx[THB Equivalent],tblTx[Subcategory],[@Category],tblTx[Date],"&gt;="&amp;DATE(2025,11,1),tblTx[Date],"&lt;="&amp;EOMONTH(DATE(2025,11,1),0)),0)</f>
        <v/>
      </c>
      <c r="F30" s="174">
        <f>D30-E30</f>
        <v/>
      </c>
      <c r="G30" s="132">
        <f>IFERROR(E30/D30,0)</f>
        <v/>
      </c>
      <c r="H30" s="137">
        <f>IF(G30&gt;1,"Over Budget",IF(G30&gt;=0.9,"Warning","Normal"))</f>
        <v/>
      </c>
      <c r="I30" s="142" t="inlineStr">
        <is>
          <t>Fixed 1,200 (iCloud+YouTube 500 + DTAC 700) + Variable 5,800</t>
        </is>
      </c>
    </row>
    <row r="31">
      <c r="B31" s="127" t="n">
        <v>45962</v>
      </c>
      <c r="C31" s="136" t="inlineStr">
        <is>
          <t>Cat</t>
        </is>
      </c>
      <c r="D31" s="174" t="n">
        <v>2000</v>
      </c>
      <c r="E31" s="174">
        <f>IFERROR(SUMIFS(tblTx[THB Equivalent],tblTx[Subcategory],[@Category],tblTx[Date],"&gt;="&amp;DATE(2025,11,1),tblTx[Date],"&lt;="&amp;EOMONTH(DATE(2025,11,1),0)),0)</f>
        <v/>
      </c>
      <c r="F31" s="174">
        <f>D31-E31</f>
        <v/>
      </c>
      <c r="G31" s="132">
        <f>IFERROR(E31/D31,0)</f>
        <v/>
      </c>
      <c r="H31" s="137">
        <f>IF(G31&gt;1,"Over Budget",IF(G31&gt;=0.9,"Warning","Normal"))</f>
        <v/>
      </c>
      <c r="I31" s="142" t="inlineStr">
        <is>
          <t>ค่าแมว</t>
        </is>
      </c>
    </row>
    <row r="32">
      <c r="B32" s="127" t="n">
        <v>45962</v>
      </c>
      <c r="C32" s="136" t="inlineStr">
        <is>
          <t>Parking</t>
        </is>
      </c>
      <c r="D32" s="174" t="n">
        <v>1600</v>
      </c>
      <c r="E32" s="174">
        <f>IFERROR(SUMIFS(tblTx[THB Equivalent],tblTx[Subcategory],[@Category],tblTx[Date],"&gt;="&amp;DATE(2025,11,1),tblTx[Date],"&lt;="&amp;EOMONTH(DATE(2025,11,1),0)),0)</f>
        <v/>
      </c>
      <c r="F32" s="174">
        <f>D32-E32</f>
        <v/>
      </c>
      <c r="G32" s="132">
        <f>IFERROR(E32/D32,0)</f>
        <v/>
      </c>
      <c r="H32" s="137">
        <f>IF(G32&gt;1,"Over Budget",IF(G32&gt;=0.9,"Warning","Normal"))</f>
        <v/>
      </c>
      <c r="I32" s="142" t="inlineStr">
        <is>
          <t>หักจากเงินเดือน</t>
        </is>
      </c>
    </row>
    <row r="33">
      <c r="B33" s="127" t="n">
        <v>45962</v>
      </c>
      <c r="C33" s="136" t="inlineStr">
        <is>
          <t>US Stocks</t>
        </is>
      </c>
      <c r="D33" s="174" t="n">
        <v>3000</v>
      </c>
      <c r="E33" s="174">
        <f>IFERROR(SUMIFS(tblTx[THB Equivalent],tblTx[Subcategory],[@Category],tblTx[Date],"&gt;="&amp;DATE(2025,11,1),tblTx[Date],"&lt;="&amp;EOMONTH(DATE(2025,11,1),0)),0)</f>
        <v/>
      </c>
      <c r="F33" s="174">
        <f>D33-E33</f>
        <v/>
      </c>
      <c r="G33" s="132">
        <f>IFERROR(E33/D33,0)</f>
        <v/>
      </c>
      <c r="H33" s="137">
        <f>IF(G33&gt;1,"Over Budget",IF(G33&gt;=0.9,"Warning","Normal"))</f>
        <v/>
      </c>
      <c r="I33" s="142" t="inlineStr">
        <is>
          <t>DCA หุ้นสหรัฐ</t>
        </is>
      </c>
    </row>
    <row r="34">
      <c r="B34" s="127" t="n">
        <v>45962</v>
      </c>
      <c r="C34" s="136" t="inlineStr">
        <is>
          <t>Investment Reserve</t>
        </is>
      </c>
      <c r="D34" s="174" t="n">
        <v>1000</v>
      </c>
      <c r="E34" s="174">
        <f>IFERROR(SUMIFS(tblTx[THB Equivalent],tblTx[Subcategory],[@Category],tblTx[Date],"&gt;="&amp;DATE(2025,11,1),tblTx[Date],"&lt;="&amp;EOMONTH(DATE(2025,11,1),0)),0)</f>
        <v/>
      </c>
      <c r="F34" s="174">
        <f>D34-E34</f>
        <v/>
      </c>
      <c r="G34" s="132">
        <f>IFERROR(E34/D34,0)</f>
        <v/>
      </c>
      <c r="H34" s="137">
        <f>IF(G34&gt;1,"Over Budget",IF(G34&gt;=0.9,"Warning","Normal"))</f>
        <v/>
      </c>
      <c r="I34" s="142" t="inlineStr">
        <is>
          <t>เงินสำรองเพื่อการลงทุน</t>
        </is>
      </c>
    </row>
    <row r="35">
      <c r="B35" s="127" t="n">
        <v>45962</v>
      </c>
      <c r="C35" s="136" t="inlineStr">
        <is>
          <t>PVD</t>
        </is>
      </c>
      <c r="D35" s="174" t="n">
        <v>2842</v>
      </c>
      <c r="E35" s="174">
        <f>IFERROR(SUMIFS(tblTx[THB Equivalent],tblTx[Subcategory],[@Category],tblTx[Date],"&gt;="&amp;DATE(2025,11,1),tblTx[Date],"&lt;="&amp;EOMONTH(DATE(2025,11,1),0)),0)</f>
        <v/>
      </c>
      <c r="F35" s="174">
        <f>D35-E35</f>
        <v/>
      </c>
      <c r="G35" s="132">
        <f>IFERROR(E35/D35,0)</f>
        <v/>
      </c>
      <c r="H35" s="137">
        <f>IF(G35&gt;1,"Over Budget",IF(G35&gt;=0.9,"Warning","Normal"))</f>
        <v/>
      </c>
      <c r="I35" s="142" t="inlineStr">
        <is>
          <t>เงินสะสมพนักงาน 15% (หักจากเงินเดือน)</t>
        </is>
      </c>
    </row>
    <row r="36">
      <c r="B36" s="127" t="n">
        <v>45992</v>
      </c>
      <c r="C36" s="136" t="inlineStr">
        <is>
          <t>Daily Expenses</t>
        </is>
      </c>
      <c r="D36" s="174" t="n">
        <v>7000</v>
      </c>
      <c r="E36" s="174">
        <f>IFERROR(SUMIFS(tblTx[THB Equivalent],tblTx[Subcategory],[@Category],tblTx[Date],"&gt;="&amp;DATE(2025,12,1),tblTx[Date],"&lt;="&amp;EOMONTH(DATE(2025,12,1),0)),0)</f>
        <v/>
      </c>
      <c r="F36" s="174">
        <f>D36-E36</f>
        <v/>
      </c>
      <c r="G36" s="132">
        <f>IFERROR(E36/D36,0)</f>
        <v/>
      </c>
      <c r="H36" s="137">
        <f>IF(G36&gt;1,"Over Budget",IF(G36&gt;=0.9,"Warning","Normal"))</f>
        <v/>
      </c>
      <c r="I36" s="142" t="inlineStr">
        <is>
          <t>Fixed 1,200 (iCloud+YouTube 500 + DTAC 700) + Variable 5,800</t>
        </is>
      </c>
    </row>
    <row r="37">
      <c r="B37" s="127" t="n">
        <v>45992</v>
      </c>
      <c r="C37" s="136" t="inlineStr">
        <is>
          <t>Cat</t>
        </is>
      </c>
      <c r="D37" s="174" t="n">
        <v>2000</v>
      </c>
      <c r="E37" s="174">
        <f>IFERROR(SUMIFS(tblTx[THB Equivalent],tblTx[Subcategory],[@Category],tblTx[Date],"&gt;="&amp;DATE(2025,12,1),tblTx[Date],"&lt;="&amp;EOMONTH(DATE(2025,12,1),0)),0)</f>
        <v/>
      </c>
      <c r="F37" s="174">
        <f>D37-E37</f>
        <v/>
      </c>
      <c r="G37" s="132">
        <f>IFERROR(E37/D37,0)</f>
        <v/>
      </c>
      <c r="H37" s="137">
        <f>IF(G37&gt;1,"Over Budget",IF(G37&gt;=0.9,"Warning","Normal"))</f>
        <v/>
      </c>
      <c r="I37" s="142" t="inlineStr">
        <is>
          <t>ค่าแมว</t>
        </is>
      </c>
    </row>
    <row r="38">
      <c r="B38" s="127" t="n">
        <v>45992</v>
      </c>
      <c r="C38" s="136" t="inlineStr">
        <is>
          <t>Parking</t>
        </is>
      </c>
      <c r="D38" s="174" t="n">
        <v>1600</v>
      </c>
      <c r="E38" s="174">
        <f>IFERROR(SUMIFS(tblTx[THB Equivalent],tblTx[Subcategory],[@Category],tblTx[Date],"&gt;="&amp;DATE(2025,12,1),tblTx[Date],"&lt;="&amp;EOMONTH(DATE(2025,12,1),0)),0)</f>
        <v/>
      </c>
      <c r="F38" s="174">
        <f>D38-E38</f>
        <v/>
      </c>
      <c r="G38" s="132">
        <f>IFERROR(E38/D38,0)</f>
        <v/>
      </c>
      <c r="H38" s="137">
        <f>IF(G38&gt;1,"Over Budget",IF(G38&gt;=0.9,"Warning","Normal"))</f>
        <v/>
      </c>
      <c r="I38" s="142" t="inlineStr">
        <is>
          <t>หักจากเงินเดือน</t>
        </is>
      </c>
    </row>
    <row r="39">
      <c r="B39" s="127" t="n">
        <v>45992</v>
      </c>
      <c r="C39" s="136" t="inlineStr">
        <is>
          <t>US Stocks</t>
        </is>
      </c>
      <c r="D39" s="174" t="n">
        <v>3000</v>
      </c>
      <c r="E39" s="174">
        <f>IFERROR(SUMIFS(tblTx[THB Equivalent],tblTx[Subcategory],[@Category],tblTx[Date],"&gt;="&amp;DATE(2025,12,1),tblTx[Date],"&lt;="&amp;EOMONTH(DATE(2025,12,1),0)),0)</f>
        <v/>
      </c>
      <c r="F39" s="174">
        <f>D39-E39</f>
        <v/>
      </c>
      <c r="G39" s="132">
        <f>IFERROR(E39/D39,0)</f>
        <v/>
      </c>
      <c r="H39" s="137">
        <f>IF(G39&gt;1,"Over Budget",IF(G39&gt;=0.9,"Warning","Normal"))</f>
        <v/>
      </c>
      <c r="I39" s="142" t="inlineStr">
        <is>
          <t>DCA หุ้นสหรัฐ</t>
        </is>
      </c>
    </row>
    <row r="40">
      <c r="B40" s="127" t="n">
        <v>45992</v>
      </c>
      <c r="C40" s="136" t="inlineStr">
        <is>
          <t>Investment Reserve</t>
        </is>
      </c>
      <c r="D40" s="174" t="n">
        <v>1000</v>
      </c>
      <c r="E40" s="174">
        <f>IFERROR(SUMIFS(tblTx[THB Equivalent],tblTx[Subcategory],[@Category],tblTx[Date],"&gt;="&amp;DATE(2025,12,1),tblTx[Date],"&lt;="&amp;EOMONTH(DATE(2025,12,1),0)),0)</f>
        <v/>
      </c>
      <c r="F40" s="174">
        <f>D40-E40</f>
        <v/>
      </c>
      <c r="G40" s="132">
        <f>IFERROR(E40/D40,0)</f>
        <v/>
      </c>
      <c r="H40" s="137">
        <f>IF(G40&gt;1,"Over Budget",IF(G40&gt;=0.9,"Warning","Normal"))</f>
        <v/>
      </c>
      <c r="I40" s="142" t="inlineStr">
        <is>
          <t>เงินสำรองเพื่อการลงทุน</t>
        </is>
      </c>
    </row>
    <row r="41">
      <c r="B41" s="127" t="n">
        <v>45992</v>
      </c>
      <c r="C41" s="136" t="inlineStr">
        <is>
          <t>PVD</t>
        </is>
      </c>
      <c r="D41" s="174" t="n">
        <v>2842</v>
      </c>
      <c r="E41" s="174">
        <f>IFERROR(SUMIFS(tblTx[THB Equivalent],tblTx[Subcategory],[@Category],tblTx[Date],"&gt;="&amp;DATE(2025,12,1),tblTx[Date],"&lt;="&amp;EOMONTH(DATE(2025,12,1),0)),0)</f>
        <v/>
      </c>
      <c r="F41" s="174">
        <f>D41-E41</f>
        <v/>
      </c>
      <c r="G41" s="132">
        <f>IFERROR(E41/D41,0)</f>
        <v/>
      </c>
      <c r="H41" s="137">
        <f>IF(G41&gt;1,"Over Budget",IF(G41&gt;=0.9,"Warning","Normal"))</f>
        <v/>
      </c>
      <c r="I41" s="142" t="inlineStr">
        <is>
          <t>เงินสะสมพนักงาน 15% (หักจากเงินเดือน)</t>
        </is>
      </c>
    </row>
    <row r="42">
      <c r="B42" s="127" t="n">
        <v>46023</v>
      </c>
      <c r="C42" s="136" t="inlineStr">
        <is>
          <t>Daily Expenses</t>
        </is>
      </c>
      <c r="D42" s="174" t="n">
        <v>7000</v>
      </c>
      <c r="E42" s="174">
        <f>IFERROR(SUMIFS(tblTx[THB Equivalent],tblTx[Subcategory],[@Category],tblTx[Date],"&gt;="&amp;DATE(2026,1,1),tblTx[Date],"&lt;="&amp;EOMONTH(DATE(2026,1,1),0)),0)</f>
        <v/>
      </c>
      <c r="F42" s="174">
        <f>D42-E42</f>
        <v/>
      </c>
      <c r="G42" s="132">
        <f>IFERROR(E42/D42,0)</f>
        <v/>
      </c>
      <c r="H42" s="137">
        <f>IF(G42&gt;1,"Over Budget",IF(G42&gt;=0.9,"Warning","Normal"))</f>
        <v/>
      </c>
      <c r="I42" s="142" t="inlineStr">
        <is>
          <t>Fixed 1,200 (iCloud+YouTube 500 + DTAC 700) + Variable 5,800</t>
        </is>
      </c>
    </row>
    <row r="43">
      <c r="B43" s="127" t="n">
        <v>46023</v>
      </c>
      <c r="C43" s="136" t="inlineStr">
        <is>
          <t>Cat</t>
        </is>
      </c>
      <c r="D43" s="174" t="n">
        <v>2000</v>
      </c>
      <c r="E43" s="174">
        <f>IFERROR(SUMIFS(tblTx[THB Equivalent],tblTx[Subcategory],[@Category],tblTx[Date],"&gt;="&amp;DATE(2026,1,1),tblTx[Date],"&lt;="&amp;EOMONTH(DATE(2026,1,1),0)),0)</f>
        <v/>
      </c>
      <c r="F43" s="174">
        <f>D43-E43</f>
        <v/>
      </c>
      <c r="G43" s="132">
        <f>IFERROR(E43/D43,0)</f>
        <v/>
      </c>
      <c r="H43" s="137">
        <f>IF(G43&gt;1,"Over Budget",IF(G43&gt;=0.9,"Warning","Normal"))</f>
        <v/>
      </c>
      <c r="I43" s="142" t="inlineStr">
        <is>
          <t>ค่าแมว</t>
        </is>
      </c>
    </row>
    <row r="44">
      <c r="B44" s="127" t="n">
        <v>46023</v>
      </c>
      <c r="C44" s="136" t="inlineStr">
        <is>
          <t>Parking</t>
        </is>
      </c>
      <c r="D44" s="174" t="n">
        <v>1600</v>
      </c>
      <c r="E44" s="174">
        <f>IFERROR(SUMIFS(tblTx[THB Equivalent],tblTx[Subcategory],[@Category],tblTx[Date],"&gt;="&amp;DATE(2026,1,1),tblTx[Date],"&lt;="&amp;EOMONTH(DATE(2026,1,1),0)),0)</f>
        <v/>
      </c>
      <c r="F44" s="174">
        <f>D44-E44</f>
        <v/>
      </c>
      <c r="G44" s="132">
        <f>IFERROR(E44/D44,0)</f>
        <v/>
      </c>
      <c r="H44" s="137">
        <f>IF(G44&gt;1,"Over Budget",IF(G44&gt;=0.9,"Warning","Normal"))</f>
        <v/>
      </c>
      <c r="I44" s="142" t="inlineStr">
        <is>
          <t>หักจากเงินเดือน</t>
        </is>
      </c>
    </row>
    <row r="45">
      <c r="B45" s="127" t="n">
        <v>46023</v>
      </c>
      <c r="C45" s="136" t="inlineStr">
        <is>
          <t>US Stocks</t>
        </is>
      </c>
      <c r="D45" s="174" t="n">
        <v>3000</v>
      </c>
      <c r="E45" s="174">
        <f>IFERROR(SUMIFS(tblTx[THB Equivalent],tblTx[Subcategory],[@Category],tblTx[Date],"&gt;="&amp;DATE(2026,1,1),tblTx[Date],"&lt;="&amp;EOMONTH(DATE(2026,1,1),0)),0)</f>
        <v/>
      </c>
      <c r="F45" s="174">
        <f>D45-E45</f>
        <v/>
      </c>
      <c r="G45" s="132">
        <f>IFERROR(E45/D45,0)</f>
        <v/>
      </c>
      <c r="H45" s="137">
        <f>IF(G45&gt;1,"Over Budget",IF(G45&gt;=0.9,"Warning","Normal"))</f>
        <v/>
      </c>
      <c r="I45" s="142" t="inlineStr">
        <is>
          <t>DCA หุ้นสหรัฐ</t>
        </is>
      </c>
    </row>
    <row r="46">
      <c r="B46" s="127" t="n">
        <v>46023</v>
      </c>
      <c r="C46" s="136" t="inlineStr">
        <is>
          <t>Investment Reserve</t>
        </is>
      </c>
      <c r="D46" s="174" t="n">
        <v>1000</v>
      </c>
      <c r="E46" s="174">
        <f>IFERROR(SUMIFS(tblTx[THB Equivalent],tblTx[Subcategory],[@Category],tblTx[Date],"&gt;="&amp;DATE(2026,1,1),tblTx[Date],"&lt;="&amp;EOMONTH(DATE(2026,1,1),0)),0)</f>
        <v/>
      </c>
      <c r="F46" s="174">
        <f>D46-E46</f>
        <v/>
      </c>
      <c r="G46" s="132">
        <f>IFERROR(E46/D46,0)</f>
        <v/>
      </c>
      <c r="H46" s="137">
        <f>IF(G46&gt;1,"Over Budget",IF(G46&gt;=0.9,"Warning","Normal"))</f>
        <v/>
      </c>
      <c r="I46" s="142" t="inlineStr">
        <is>
          <t>เงินสำรองเพื่อการลงทุน</t>
        </is>
      </c>
    </row>
    <row r="47">
      <c r="B47" s="127" t="n">
        <v>46023</v>
      </c>
      <c r="C47" s="136" t="inlineStr">
        <is>
          <t>PVD</t>
        </is>
      </c>
      <c r="D47" s="174" t="n">
        <v>2842</v>
      </c>
      <c r="E47" s="174">
        <f>IFERROR(SUMIFS(tblTx[THB Equivalent],tblTx[Subcategory],[@Category],tblTx[Date],"&gt;="&amp;DATE(2026,1,1),tblTx[Date],"&lt;="&amp;EOMONTH(DATE(2026,1,1),0)),0)</f>
        <v/>
      </c>
      <c r="F47" s="174">
        <f>D47-E47</f>
        <v/>
      </c>
      <c r="G47" s="132">
        <f>IFERROR(E47/D47,0)</f>
        <v/>
      </c>
      <c r="H47" s="137">
        <f>IF(G47&gt;1,"Over Budget",IF(G47&gt;=0.9,"Warning","Normal"))</f>
        <v/>
      </c>
      <c r="I47" s="142" t="inlineStr">
        <is>
          <t>เงินสะสมพนักงาน 15% (หักจากเงินเดือน)</t>
        </is>
      </c>
    </row>
    <row r="48">
      <c r="B48" s="127" t="n">
        <v>46054</v>
      </c>
      <c r="C48" s="136" t="inlineStr">
        <is>
          <t>Daily Expenses</t>
        </is>
      </c>
      <c r="D48" s="174" t="n">
        <v>7000</v>
      </c>
      <c r="E48" s="174">
        <f>IFERROR(SUMIFS(tblTx[THB Equivalent],tblTx[Subcategory],[@Category],tblTx[Date],"&gt;="&amp;DATE(2026,2,1),tblTx[Date],"&lt;="&amp;EOMONTH(DATE(2026,2,1),0)),0)</f>
        <v/>
      </c>
      <c r="F48" s="174">
        <f>D48-E48</f>
        <v/>
      </c>
      <c r="G48" s="132">
        <f>IFERROR(E48/D48,0)</f>
        <v/>
      </c>
      <c r="H48" s="137">
        <f>IF(G48&gt;1,"Over Budget",IF(G48&gt;=0.9,"Warning","Normal"))</f>
        <v/>
      </c>
      <c r="I48" s="142" t="inlineStr">
        <is>
          <t>Fixed 1,200 (iCloud+YouTube 500 + DTAC 700) + Variable 5,800</t>
        </is>
      </c>
    </row>
    <row r="49">
      <c r="B49" s="127" t="n">
        <v>46054</v>
      </c>
      <c r="C49" s="136" t="inlineStr">
        <is>
          <t>Cat</t>
        </is>
      </c>
      <c r="D49" s="174" t="n">
        <v>2000</v>
      </c>
      <c r="E49" s="174">
        <f>IFERROR(SUMIFS(tblTx[THB Equivalent],tblTx[Subcategory],[@Category],tblTx[Date],"&gt;="&amp;DATE(2026,2,1),tblTx[Date],"&lt;="&amp;EOMONTH(DATE(2026,2,1),0)),0)</f>
        <v/>
      </c>
      <c r="F49" s="174">
        <f>D49-E49</f>
        <v/>
      </c>
      <c r="G49" s="132">
        <f>IFERROR(E49/D49,0)</f>
        <v/>
      </c>
      <c r="H49" s="137">
        <f>IF(G49&gt;1,"Over Budget",IF(G49&gt;=0.9,"Warning","Normal"))</f>
        <v/>
      </c>
      <c r="I49" s="142" t="inlineStr">
        <is>
          <t>ค่าแมว</t>
        </is>
      </c>
    </row>
    <row r="50">
      <c r="B50" s="127" t="n">
        <v>46054</v>
      </c>
      <c r="C50" s="136" t="inlineStr">
        <is>
          <t>Parking</t>
        </is>
      </c>
      <c r="D50" s="174" t="n">
        <v>1600</v>
      </c>
      <c r="E50" s="174">
        <f>IFERROR(SUMIFS(tblTx[THB Equivalent],tblTx[Subcategory],[@Category],tblTx[Date],"&gt;="&amp;DATE(2026,2,1),tblTx[Date],"&lt;="&amp;EOMONTH(DATE(2026,2,1),0)),0)</f>
        <v/>
      </c>
      <c r="F50" s="174">
        <f>D50-E50</f>
        <v/>
      </c>
      <c r="G50" s="132">
        <f>IFERROR(E50/D50,0)</f>
        <v/>
      </c>
      <c r="H50" s="137">
        <f>IF(G50&gt;1,"Over Budget",IF(G50&gt;=0.9,"Warning","Normal"))</f>
        <v/>
      </c>
      <c r="I50" s="142" t="inlineStr">
        <is>
          <t>หักจากเงินเดือน</t>
        </is>
      </c>
    </row>
    <row r="51">
      <c r="B51" s="127" t="n">
        <v>46054</v>
      </c>
      <c r="C51" s="136" t="inlineStr">
        <is>
          <t>US Stocks</t>
        </is>
      </c>
      <c r="D51" s="174" t="n">
        <v>3000</v>
      </c>
      <c r="E51" s="174">
        <f>IFERROR(SUMIFS(tblTx[THB Equivalent],tblTx[Subcategory],[@Category],tblTx[Date],"&gt;="&amp;DATE(2026,2,1),tblTx[Date],"&lt;="&amp;EOMONTH(DATE(2026,2,1),0)),0)</f>
        <v/>
      </c>
      <c r="F51" s="174">
        <f>D51-E51</f>
        <v/>
      </c>
      <c r="G51" s="132">
        <f>IFERROR(E51/D51,0)</f>
        <v/>
      </c>
      <c r="H51" s="137">
        <f>IF(G51&gt;1,"Over Budget",IF(G51&gt;=0.9,"Warning","Normal"))</f>
        <v/>
      </c>
      <c r="I51" s="142" t="inlineStr">
        <is>
          <t>DCA หุ้นสหรัฐ</t>
        </is>
      </c>
    </row>
    <row r="52">
      <c r="B52" s="127" t="n">
        <v>46054</v>
      </c>
      <c r="C52" s="136" t="inlineStr">
        <is>
          <t>Investment Reserve</t>
        </is>
      </c>
      <c r="D52" s="174" t="n">
        <v>1000</v>
      </c>
      <c r="E52" s="174">
        <f>IFERROR(SUMIFS(tblTx[THB Equivalent],tblTx[Subcategory],[@Category],tblTx[Date],"&gt;="&amp;DATE(2026,2,1),tblTx[Date],"&lt;="&amp;EOMONTH(DATE(2026,2,1),0)),0)</f>
        <v/>
      </c>
      <c r="F52" s="174">
        <f>D52-E52</f>
        <v/>
      </c>
      <c r="G52" s="132">
        <f>IFERROR(E52/D52,0)</f>
        <v/>
      </c>
      <c r="H52" s="137">
        <f>IF(G52&gt;1,"Over Budget",IF(G52&gt;=0.9,"Warning","Normal"))</f>
        <v/>
      </c>
      <c r="I52" s="142" t="inlineStr">
        <is>
          <t>เงินสำรองเพื่อการลงทุน</t>
        </is>
      </c>
    </row>
    <row r="53">
      <c r="B53" s="127" t="n">
        <v>46054</v>
      </c>
      <c r="C53" s="136" t="inlineStr">
        <is>
          <t>PVD</t>
        </is>
      </c>
      <c r="D53" s="174" t="n">
        <v>2842</v>
      </c>
      <c r="E53" s="174">
        <f>IFERROR(SUMIFS(tblTx[THB Equivalent],tblTx[Subcategory],[@Category],tblTx[Date],"&gt;="&amp;DATE(2026,2,1),tblTx[Date],"&lt;="&amp;EOMONTH(DATE(2026,2,1),0)),0)</f>
        <v/>
      </c>
      <c r="F53" s="174">
        <f>D53-E53</f>
        <v/>
      </c>
      <c r="G53" s="132">
        <f>IFERROR(E53/D53,0)</f>
        <v/>
      </c>
      <c r="H53" s="137">
        <f>IF(G53&gt;1,"Over Budget",IF(G53&gt;=0.9,"Warning","Normal"))</f>
        <v/>
      </c>
      <c r="I53" s="142" t="inlineStr">
        <is>
          <t>เงินสะสมพนักงาน 15% (หักจากเงินเดือน)</t>
        </is>
      </c>
    </row>
    <row r="54">
      <c r="B54" s="127" t="n">
        <v>46082</v>
      </c>
      <c r="C54" s="136" t="inlineStr">
        <is>
          <t>Daily Expenses</t>
        </is>
      </c>
      <c r="D54" s="174" t="n">
        <v>7000</v>
      </c>
      <c r="E54" s="174">
        <f>IFERROR(SUMIFS(tblTx[THB Equivalent],tblTx[Subcategory],[@Category],tblTx[Date],"&gt;="&amp;DATE(2026,3,1),tblTx[Date],"&lt;="&amp;EOMONTH(DATE(2026,3,1),0)),0)</f>
        <v/>
      </c>
      <c r="F54" s="174">
        <f>D54-E54</f>
        <v/>
      </c>
      <c r="G54" s="132">
        <f>IFERROR(E54/D54,0)</f>
        <v/>
      </c>
      <c r="H54" s="137">
        <f>IF(G54&gt;1,"Over Budget",IF(G54&gt;=0.9,"Warning","Normal"))</f>
        <v/>
      </c>
      <c r="I54" s="142" t="inlineStr">
        <is>
          <t>Fixed 1,200 (iCloud+YouTube 500 + DTAC 700) + Variable 5,800</t>
        </is>
      </c>
    </row>
    <row r="55">
      <c r="B55" s="127" t="n">
        <v>46082</v>
      </c>
      <c r="C55" s="136" t="inlineStr">
        <is>
          <t>Cat</t>
        </is>
      </c>
      <c r="D55" s="174" t="n">
        <v>2000</v>
      </c>
      <c r="E55" s="174">
        <f>IFERROR(SUMIFS(tblTx[THB Equivalent],tblTx[Subcategory],[@Category],tblTx[Date],"&gt;="&amp;DATE(2026,3,1),tblTx[Date],"&lt;="&amp;EOMONTH(DATE(2026,3,1),0)),0)</f>
        <v/>
      </c>
      <c r="F55" s="174">
        <f>D55-E55</f>
        <v/>
      </c>
      <c r="G55" s="132">
        <f>IFERROR(E55/D55,0)</f>
        <v/>
      </c>
      <c r="H55" s="137">
        <f>IF(G55&gt;1,"Over Budget",IF(G55&gt;=0.9,"Warning","Normal"))</f>
        <v/>
      </c>
      <c r="I55" s="142" t="inlineStr">
        <is>
          <t>ค่าแมว</t>
        </is>
      </c>
    </row>
    <row r="56">
      <c r="B56" s="127" t="n">
        <v>46082</v>
      </c>
      <c r="C56" s="136" t="inlineStr">
        <is>
          <t>Parking</t>
        </is>
      </c>
      <c r="D56" s="174" t="n">
        <v>1600</v>
      </c>
      <c r="E56" s="174">
        <f>IFERROR(SUMIFS(tblTx[THB Equivalent],tblTx[Subcategory],[@Category],tblTx[Date],"&gt;="&amp;DATE(2026,3,1),tblTx[Date],"&lt;="&amp;EOMONTH(DATE(2026,3,1),0)),0)</f>
        <v/>
      </c>
      <c r="F56" s="174">
        <f>D56-E56</f>
        <v/>
      </c>
      <c r="G56" s="132">
        <f>IFERROR(E56/D56,0)</f>
        <v/>
      </c>
      <c r="H56" s="137">
        <f>IF(G56&gt;1,"Over Budget",IF(G56&gt;=0.9,"Warning","Normal"))</f>
        <v/>
      </c>
      <c r="I56" s="142" t="inlineStr">
        <is>
          <t>หักจากเงินเดือน</t>
        </is>
      </c>
    </row>
    <row r="57">
      <c r="B57" s="127" t="n">
        <v>46082</v>
      </c>
      <c r="C57" s="136" t="inlineStr">
        <is>
          <t>US Stocks</t>
        </is>
      </c>
      <c r="D57" s="174" t="n">
        <v>3000</v>
      </c>
      <c r="E57" s="174">
        <f>IFERROR(SUMIFS(tblTx[THB Equivalent],tblTx[Subcategory],[@Category],tblTx[Date],"&gt;="&amp;DATE(2026,3,1),tblTx[Date],"&lt;="&amp;EOMONTH(DATE(2026,3,1),0)),0)</f>
        <v/>
      </c>
      <c r="F57" s="174">
        <f>D57-E57</f>
        <v/>
      </c>
      <c r="G57" s="132">
        <f>IFERROR(E57/D57,0)</f>
        <v/>
      </c>
      <c r="H57" s="137">
        <f>IF(G57&gt;1,"Over Budget",IF(G57&gt;=0.9,"Warning","Normal"))</f>
        <v/>
      </c>
      <c r="I57" s="142" t="inlineStr">
        <is>
          <t>DCA หุ้นสหรัฐ</t>
        </is>
      </c>
    </row>
    <row r="58">
      <c r="B58" s="127" t="n">
        <v>46082</v>
      </c>
      <c r="C58" s="136" t="inlineStr">
        <is>
          <t>Investment Reserve</t>
        </is>
      </c>
      <c r="D58" s="174" t="n">
        <v>1000</v>
      </c>
      <c r="E58" s="174">
        <f>IFERROR(SUMIFS(tblTx[THB Equivalent],tblTx[Subcategory],[@Category],tblTx[Date],"&gt;="&amp;DATE(2026,3,1),tblTx[Date],"&lt;="&amp;EOMONTH(DATE(2026,3,1),0)),0)</f>
        <v/>
      </c>
      <c r="F58" s="174">
        <f>D58-E58</f>
        <v/>
      </c>
      <c r="G58" s="132">
        <f>IFERROR(E58/D58,0)</f>
        <v/>
      </c>
      <c r="H58" s="137">
        <f>IF(G58&gt;1,"Over Budget",IF(G58&gt;=0.9,"Warning","Normal"))</f>
        <v/>
      </c>
      <c r="I58" s="142" t="inlineStr">
        <is>
          <t>เงินสำรองเพื่อการลงทุน</t>
        </is>
      </c>
    </row>
    <row r="59">
      <c r="B59" s="127" t="n">
        <v>46082</v>
      </c>
      <c r="C59" s="136" t="inlineStr">
        <is>
          <t>PVD</t>
        </is>
      </c>
      <c r="D59" s="174" t="n">
        <v>2842</v>
      </c>
      <c r="E59" s="174">
        <f>IFERROR(SUMIFS(tblTx[THB Equivalent],tblTx[Subcategory],[@Category],tblTx[Date],"&gt;="&amp;DATE(2026,3,1),tblTx[Date],"&lt;="&amp;EOMONTH(DATE(2026,3,1),0)),0)</f>
        <v/>
      </c>
      <c r="F59" s="174">
        <f>D59-E59</f>
        <v/>
      </c>
      <c r="G59" s="132">
        <f>IFERROR(E59/D59,0)</f>
        <v/>
      </c>
      <c r="H59" s="137">
        <f>IF(G59&gt;1,"Over Budget",IF(G59&gt;=0.9,"Warning","Normal"))</f>
        <v/>
      </c>
      <c r="I59" s="142" t="inlineStr">
        <is>
          <t>เงินสะสมพนักงาน 15% (หักจากเงินเดือน)</t>
        </is>
      </c>
    </row>
    <row r="60">
      <c r="B60" s="127" t="n">
        <v>46113</v>
      </c>
      <c r="C60" s="136" t="inlineStr">
        <is>
          <t>Daily Expenses</t>
        </is>
      </c>
      <c r="D60" s="174" t="n">
        <v>7000</v>
      </c>
      <c r="E60" s="174">
        <f>IFERROR(SUMIFS(tblTx[THB Equivalent],tblTx[Subcategory],[@Category],tblTx[Date],"&gt;="&amp;DATE(2026,4,1),tblTx[Date],"&lt;="&amp;EOMONTH(DATE(2026,4,1),0)),0)</f>
        <v/>
      </c>
      <c r="F60" s="174">
        <f>D60-E60</f>
        <v/>
      </c>
      <c r="G60" s="132">
        <f>IFERROR(E60/D60,0)</f>
        <v/>
      </c>
      <c r="H60" s="137">
        <f>IF(G60&gt;1,"Over Budget",IF(G60&gt;=0.9,"Warning","Normal"))</f>
        <v/>
      </c>
      <c r="I60" s="142" t="inlineStr">
        <is>
          <t>Fixed 1,200 (iCloud+YouTube 500 + DTAC 700) + Variable 5,800</t>
        </is>
      </c>
    </row>
    <row r="61">
      <c r="B61" s="127" t="n">
        <v>46113</v>
      </c>
      <c r="C61" s="136" t="inlineStr">
        <is>
          <t>Cat</t>
        </is>
      </c>
      <c r="D61" s="174" t="n">
        <v>2000</v>
      </c>
      <c r="E61" s="174">
        <f>IFERROR(SUMIFS(tblTx[THB Equivalent],tblTx[Subcategory],[@Category],tblTx[Date],"&gt;="&amp;DATE(2026,4,1),tblTx[Date],"&lt;="&amp;EOMONTH(DATE(2026,4,1),0)),0)</f>
        <v/>
      </c>
      <c r="F61" s="174">
        <f>D61-E61</f>
        <v/>
      </c>
      <c r="G61" s="132">
        <f>IFERROR(E61/D61,0)</f>
        <v/>
      </c>
      <c r="H61" s="137">
        <f>IF(G61&gt;1,"Over Budget",IF(G61&gt;=0.9,"Warning","Normal"))</f>
        <v/>
      </c>
      <c r="I61" s="142" t="inlineStr">
        <is>
          <t>ค่าแมว</t>
        </is>
      </c>
    </row>
    <row r="62">
      <c r="B62" s="127" t="n">
        <v>46113</v>
      </c>
      <c r="C62" s="136" t="inlineStr">
        <is>
          <t>Parking</t>
        </is>
      </c>
      <c r="D62" s="174" t="n">
        <v>1600</v>
      </c>
      <c r="E62" s="174">
        <f>IFERROR(SUMIFS(tblTx[THB Equivalent],tblTx[Subcategory],[@Category],tblTx[Date],"&gt;="&amp;DATE(2026,4,1),tblTx[Date],"&lt;="&amp;EOMONTH(DATE(2026,4,1),0)),0)</f>
        <v/>
      </c>
      <c r="F62" s="174">
        <f>D62-E62</f>
        <v/>
      </c>
      <c r="G62" s="132">
        <f>IFERROR(E62/D62,0)</f>
        <v/>
      </c>
      <c r="H62" s="137">
        <f>IF(G62&gt;1,"Over Budget",IF(G62&gt;=0.9,"Warning","Normal"))</f>
        <v/>
      </c>
      <c r="I62" s="142" t="inlineStr">
        <is>
          <t>หักจากเงินเดือน</t>
        </is>
      </c>
    </row>
    <row r="63">
      <c r="B63" s="127" t="n">
        <v>46113</v>
      </c>
      <c r="C63" s="136" t="inlineStr">
        <is>
          <t>US Stocks</t>
        </is>
      </c>
      <c r="D63" s="174" t="n">
        <v>3000</v>
      </c>
      <c r="E63" s="174">
        <f>IFERROR(SUMIFS(tblTx[THB Equivalent],tblTx[Subcategory],[@Category],tblTx[Date],"&gt;="&amp;DATE(2026,4,1),tblTx[Date],"&lt;="&amp;EOMONTH(DATE(2026,4,1),0)),0)</f>
        <v/>
      </c>
      <c r="F63" s="174">
        <f>D63-E63</f>
        <v/>
      </c>
      <c r="G63" s="132">
        <f>IFERROR(E63/D63,0)</f>
        <v/>
      </c>
      <c r="H63" s="137">
        <f>IF(G63&gt;1,"Over Budget",IF(G63&gt;=0.9,"Warning","Normal"))</f>
        <v/>
      </c>
      <c r="I63" s="142" t="inlineStr">
        <is>
          <t>DCA หุ้นสหรัฐ</t>
        </is>
      </c>
    </row>
    <row r="64">
      <c r="B64" s="127" t="n">
        <v>46113</v>
      </c>
      <c r="C64" s="136" t="inlineStr">
        <is>
          <t>Investment Reserve</t>
        </is>
      </c>
      <c r="D64" s="174" t="n">
        <v>1000</v>
      </c>
      <c r="E64" s="174">
        <f>IFERROR(SUMIFS(tblTx[THB Equivalent],tblTx[Subcategory],[@Category],tblTx[Date],"&gt;="&amp;DATE(2026,4,1),tblTx[Date],"&lt;="&amp;EOMONTH(DATE(2026,4,1),0)),0)</f>
        <v/>
      </c>
      <c r="F64" s="174">
        <f>D64-E64</f>
        <v/>
      </c>
      <c r="G64" s="132">
        <f>IFERROR(E64/D64,0)</f>
        <v/>
      </c>
      <c r="H64" s="137">
        <f>IF(G64&gt;1,"Over Budget",IF(G64&gt;=0.9,"Warning","Normal"))</f>
        <v/>
      </c>
      <c r="I64" s="142" t="inlineStr">
        <is>
          <t>เงินสำรองเพื่อการลงทุน</t>
        </is>
      </c>
    </row>
    <row r="65">
      <c r="B65" s="127" t="n">
        <v>46113</v>
      </c>
      <c r="C65" s="136" t="inlineStr">
        <is>
          <t>PVD</t>
        </is>
      </c>
      <c r="D65" s="174" t="n">
        <v>2842</v>
      </c>
      <c r="E65" s="174">
        <f>IFERROR(SUMIFS(tblTx[THB Equivalent],tblTx[Subcategory],[@Category],tblTx[Date],"&gt;="&amp;DATE(2026,4,1),tblTx[Date],"&lt;="&amp;EOMONTH(DATE(2026,4,1),0)),0)</f>
        <v/>
      </c>
      <c r="F65" s="174">
        <f>D65-E65</f>
        <v/>
      </c>
      <c r="G65" s="132">
        <f>IFERROR(E65/D65,0)</f>
        <v/>
      </c>
      <c r="H65" s="137">
        <f>IF(G65&gt;1,"Over Budget",IF(G65&gt;=0.9,"Warning","Normal"))</f>
        <v/>
      </c>
      <c r="I65" s="142" t="inlineStr">
        <is>
          <t>เงินสะสมพนักงาน 15% (หักจากเงินเดือน)</t>
        </is>
      </c>
    </row>
    <row r="66">
      <c r="B66" s="127" t="n">
        <v>46143</v>
      </c>
      <c r="C66" s="136" t="inlineStr">
        <is>
          <t>Daily Expenses</t>
        </is>
      </c>
      <c r="D66" s="174" t="n">
        <v>7000</v>
      </c>
      <c r="E66" s="174">
        <f>IFERROR(SUMIFS(tblTx[THB Equivalent],tblTx[Subcategory],[@Category],tblTx[Date],"&gt;="&amp;DATE(2026,5,1),tblTx[Date],"&lt;="&amp;EOMONTH(DATE(2026,5,1),0)),0)</f>
        <v/>
      </c>
      <c r="F66" s="174">
        <f>D66-E66</f>
        <v/>
      </c>
      <c r="G66" s="132">
        <f>IFERROR(E66/D66,0)</f>
        <v/>
      </c>
      <c r="H66" s="137">
        <f>IF(G66&gt;1,"Over Budget",IF(G66&gt;=0.9,"Warning","Normal"))</f>
        <v/>
      </c>
      <c r="I66" s="142" t="inlineStr">
        <is>
          <t>Fixed 1,200 (iCloud+YouTube 500 + DTAC 700) + Variable 5,800</t>
        </is>
      </c>
    </row>
    <row r="67">
      <c r="B67" s="127" t="n">
        <v>46143</v>
      </c>
      <c r="C67" s="136" t="inlineStr">
        <is>
          <t>Cat</t>
        </is>
      </c>
      <c r="D67" s="174" t="n">
        <v>2000</v>
      </c>
      <c r="E67" s="174">
        <f>IFERROR(SUMIFS(tblTx[THB Equivalent],tblTx[Subcategory],[@Category],tblTx[Date],"&gt;="&amp;DATE(2026,5,1),tblTx[Date],"&lt;="&amp;EOMONTH(DATE(2026,5,1),0)),0)</f>
        <v/>
      </c>
      <c r="F67" s="174">
        <f>D67-E67</f>
        <v/>
      </c>
      <c r="G67" s="132">
        <f>IFERROR(E67/D67,0)</f>
        <v/>
      </c>
      <c r="H67" s="137">
        <f>IF(G67&gt;1,"Over Budget",IF(G67&gt;=0.9,"Warning","Normal"))</f>
        <v/>
      </c>
      <c r="I67" s="142" t="inlineStr">
        <is>
          <t>ค่าแมว</t>
        </is>
      </c>
    </row>
    <row r="68">
      <c r="B68" s="127" t="n">
        <v>46143</v>
      </c>
      <c r="C68" s="136" t="inlineStr">
        <is>
          <t>Parking</t>
        </is>
      </c>
      <c r="D68" s="174" t="n">
        <v>1600</v>
      </c>
      <c r="E68" s="174">
        <f>IFERROR(SUMIFS(tblTx[THB Equivalent],tblTx[Subcategory],[@Category],tblTx[Date],"&gt;="&amp;DATE(2026,5,1),tblTx[Date],"&lt;="&amp;EOMONTH(DATE(2026,5,1),0)),0)</f>
        <v/>
      </c>
      <c r="F68" s="174">
        <f>D68-E68</f>
        <v/>
      </c>
      <c r="G68" s="132">
        <f>IFERROR(E68/D68,0)</f>
        <v/>
      </c>
      <c r="H68" s="137">
        <f>IF(G68&gt;1,"Over Budget",IF(G68&gt;=0.9,"Warning","Normal"))</f>
        <v/>
      </c>
      <c r="I68" s="142" t="inlineStr">
        <is>
          <t>หักจากเงินเดือน</t>
        </is>
      </c>
    </row>
    <row r="69">
      <c r="B69" s="127" t="n">
        <v>46143</v>
      </c>
      <c r="C69" s="136" t="inlineStr">
        <is>
          <t>US Stocks</t>
        </is>
      </c>
      <c r="D69" s="174" t="n">
        <v>3000</v>
      </c>
      <c r="E69" s="174">
        <f>IFERROR(SUMIFS(tblTx[THB Equivalent],tblTx[Subcategory],[@Category],tblTx[Date],"&gt;="&amp;DATE(2026,5,1),tblTx[Date],"&lt;="&amp;EOMONTH(DATE(2026,5,1),0)),0)</f>
        <v/>
      </c>
      <c r="F69" s="174">
        <f>D69-E69</f>
        <v/>
      </c>
      <c r="G69" s="132">
        <f>IFERROR(E69/D69,0)</f>
        <v/>
      </c>
      <c r="H69" s="137">
        <f>IF(G69&gt;1,"Over Budget",IF(G69&gt;=0.9,"Warning","Normal"))</f>
        <v/>
      </c>
      <c r="I69" s="142" t="inlineStr">
        <is>
          <t>DCA หุ้นสหรัฐ</t>
        </is>
      </c>
    </row>
    <row r="70">
      <c r="B70" s="127" t="n">
        <v>46143</v>
      </c>
      <c r="C70" s="136" t="inlineStr">
        <is>
          <t>Investment Reserve</t>
        </is>
      </c>
      <c r="D70" s="174" t="n">
        <v>1000</v>
      </c>
      <c r="E70" s="174">
        <f>IFERROR(SUMIFS(tblTx[THB Equivalent],tblTx[Subcategory],[@Category],tblTx[Date],"&gt;="&amp;DATE(2026,5,1),tblTx[Date],"&lt;="&amp;EOMONTH(DATE(2026,5,1),0)),0)</f>
        <v/>
      </c>
      <c r="F70" s="174">
        <f>D70-E70</f>
        <v/>
      </c>
      <c r="G70" s="132">
        <f>IFERROR(E70/D70,0)</f>
        <v/>
      </c>
      <c r="H70" s="137">
        <f>IF(G70&gt;1,"Over Budget",IF(G70&gt;=0.9,"Warning","Normal"))</f>
        <v/>
      </c>
      <c r="I70" s="142" t="inlineStr">
        <is>
          <t>เงินสำรองเพื่อการลงทุน</t>
        </is>
      </c>
    </row>
    <row r="71">
      <c r="B71" s="127" t="n">
        <v>46143</v>
      </c>
      <c r="C71" s="136" t="inlineStr">
        <is>
          <t>PVD</t>
        </is>
      </c>
      <c r="D71" s="174" t="n">
        <v>2842</v>
      </c>
      <c r="E71" s="174">
        <f>IFERROR(SUMIFS(tblTx[THB Equivalent],tblTx[Subcategory],[@Category],tblTx[Date],"&gt;="&amp;DATE(2026,5,1),tblTx[Date],"&lt;="&amp;EOMONTH(DATE(2026,5,1),0)),0)</f>
        <v/>
      </c>
      <c r="F71" s="174">
        <f>D71-E71</f>
        <v/>
      </c>
      <c r="G71" s="132">
        <f>IFERROR(E71/D71,0)</f>
        <v/>
      </c>
      <c r="H71" s="137">
        <f>IF(G71&gt;1,"Over Budget",IF(G71&gt;=0.9,"Warning","Normal"))</f>
        <v/>
      </c>
      <c r="I71" s="142" t="inlineStr">
        <is>
          <t>เงินสะสมพนักงาน 15% (หักจากเงินเดือน)</t>
        </is>
      </c>
    </row>
    <row r="72">
      <c r="B72" s="127" t="n">
        <v>46174</v>
      </c>
      <c r="C72" s="136" t="inlineStr">
        <is>
          <t>Daily Expenses</t>
        </is>
      </c>
      <c r="D72" s="174" t="n">
        <v>7000</v>
      </c>
      <c r="E72" s="174">
        <f>IFERROR(SUMIFS(tblTx[THB Equivalent],tblTx[Subcategory],[@Category],tblTx[Date],"&gt;="&amp;DATE(2026,6,1),tblTx[Date],"&lt;="&amp;EOMONTH(DATE(2026,6,1),0)),0)</f>
        <v/>
      </c>
      <c r="F72" s="174">
        <f>D72-E72</f>
        <v/>
      </c>
      <c r="G72" s="132">
        <f>IFERROR(E72/D72,0)</f>
        <v/>
      </c>
      <c r="H72" s="137">
        <f>IF(G72&gt;1,"Over Budget",IF(G72&gt;=0.9,"Warning","Normal"))</f>
        <v/>
      </c>
      <c r="I72" s="142" t="inlineStr">
        <is>
          <t>Fixed 1,200 (iCloud+YouTube 500 + DTAC 700) + Variable 5,800</t>
        </is>
      </c>
    </row>
    <row r="73">
      <c r="B73" s="127" t="n">
        <v>46174</v>
      </c>
      <c r="C73" s="136" t="inlineStr">
        <is>
          <t>Cat</t>
        </is>
      </c>
      <c r="D73" s="174" t="n">
        <v>2000</v>
      </c>
      <c r="E73" s="174">
        <f>IFERROR(SUMIFS(tblTx[THB Equivalent],tblTx[Subcategory],[@Category],tblTx[Date],"&gt;="&amp;DATE(2026,6,1),tblTx[Date],"&lt;="&amp;EOMONTH(DATE(2026,6,1),0)),0)</f>
        <v/>
      </c>
      <c r="F73" s="174">
        <f>D73-E73</f>
        <v/>
      </c>
      <c r="G73" s="132">
        <f>IFERROR(E73/D73,0)</f>
        <v/>
      </c>
      <c r="H73" s="137">
        <f>IF(G73&gt;1,"Over Budget",IF(G73&gt;=0.9,"Warning","Normal"))</f>
        <v/>
      </c>
      <c r="I73" s="142" t="inlineStr">
        <is>
          <t>ค่าแมว</t>
        </is>
      </c>
    </row>
    <row r="74">
      <c r="B74" s="127" t="n">
        <v>46174</v>
      </c>
      <c r="C74" s="136" t="inlineStr">
        <is>
          <t>Parking</t>
        </is>
      </c>
      <c r="D74" s="174" t="n">
        <v>1600</v>
      </c>
      <c r="E74" s="174">
        <f>IFERROR(SUMIFS(tblTx[THB Equivalent],tblTx[Subcategory],[@Category],tblTx[Date],"&gt;="&amp;DATE(2026,6,1),tblTx[Date],"&lt;="&amp;EOMONTH(DATE(2026,6,1),0)),0)</f>
        <v/>
      </c>
      <c r="F74" s="174">
        <f>D74-E74</f>
        <v/>
      </c>
      <c r="G74" s="132">
        <f>IFERROR(E74/D74,0)</f>
        <v/>
      </c>
      <c r="H74" s="137">
        <f>IF(G74&gt;1,"Over Budget",IF(G74&gt;=0.9,"Warning","Normal"))</f>
        <v/>
      </c>
      <c r="I74" s="142" t="inlineStr">
        <is>
          <t>หักจากเงินเดือน</t>
        </is>
      </c>
    </row>
    <row r="75">
      <c r="B75" s="127" t="n">
        <v>46174</v>
      </c>
      <c r="C75" s="136" t="inlineStr">
        <is>
          <t>US Stocks</t>
        </is>
      </c>
      <c r="D75" s="174" t="n">
        <v>3000</v>
      </c>
      <c r="E75" s="174">
        <f>IFERROR(SUMIFS(tblTx[THB Equivalent],tblTx[Subcategory],[@Category],tblTx[Date],"&gt;="&amp;DATE(2026,6,1),tblTx[Date],"&lt;="&amp;EOMONTH(DATE(2026,6,1),0)),0)</f>
        <v/>
      </c>
      <c r="F75" s="174">
        <f>D75-E75</f>
        <v/>
      </c>
      <c r="G75" s="132">
        <f>IFERROR(E75/D75,0)</f>
        <v/>
      </c>
      <c r="H75" s="137">
        <f>IF(G75&gt;1,"Over Budget",IF(G75&gt;=0.9,"Warning","Normal"))</f>
        <v/>
      </c>
      <c r="I75" s="142" t="inlineStr">
        <is>
          <t>DCA หุ้นสหรัฐ</t>
        </is>
      </c>
    </row>
    <row r="76">
      <c r="B76" s="127" t="n">
        <v>46174</v>
      </c>
      <c r="C76" s="136" t="inlineStr">
        <is>
          <t>Investment Reserve</t>
        </is>
      </c>
      <c r="D76" s="174" t="n">
        <v>1000</v>
      </c>
      <c r="E76" s="174">
        <f>IFERROR(SUMIFS(tblTx[THB Equivalent],tblTx[Subcategory],[@Category],tblTx[Date],"&gt;="&amp;DATE(2026,6,1),tblTx[Date],"&lt;="&amp;EOMONTH(DATE(2026,6,1),0)),0)</f>
        <v/>
      </c>
      <c r="F76" s="174">
        <f>D76-E76</f>
        <v/>
      </c>
      <c r="G76" s="132">
        <f>IFERROR(E76/D76,0)</f>
        <v/>
      </c>
      <c r="H76" s="137">
        <f>IF(G76&gt;1,"Over Budget",IF(G76&gt;=0.9,"Warning","Normal"))</f>
        <v/>
      </c>
      <c r="I76" s="142" t="inlineStr">
        <is>
          <t>เงินสำรองเพื่อการลงทุน</t>
        </is>
      </c>
    </row>
    <row r="77">
      <c r="B77" s="127" t="n">
        <v>46174</v>
      </c>
      <c r="C77" s="136" t="inlineStr">
        <is>
          <t>PVD</t>
        </is>
      </c>
      <c r="D77" s="174" t="n">
        <v>2842</v>
      </c>
      <c r="E77" s="174">
        <f>IFERROR(SUMIFS(tblTx[THB Equivalent],tblTx[Subcategory],[@Category],tblTx[Date],"&gt;="&amp;DATE(2026,6,1),tblTx[Date],"&lt;="&amp;EOMONTH(DATE(2026,6,1),0)),0)</f>
        <v/>
      </c>
      <c r="F77" s="174">
        <f>D77-E77</f>
        <v/>
      </c>
      <c r="G77" s="132">
        <f>IFERROR(E77/D77,0)</f>
        <v/>
      </c>
      <c r="H77" s="137">
        <f>IF(G77&gt;1,"Over Budget",IF(G77&gt;=0.9,"Warning","Normal"))</f>
        <v/>
      </c>
      <c r="I77" s="142" t="inlineStr">
        <is>
          <t>เงินสะสมพนักงาน 15% (หักจากเงินเดือน)</t>
        </is>
      </c>
    </row>
    <row r="78">
      <c r="B78" s="127" t="n">
        <v>46204</v>
      </c>
      <c r="C78" s="136" t="inlineStr">
        <is>
          <t>Daily Expenses</t>
        </is>
      </c>
      <c r="D78" s="174" t="n">
        <v>7000</v>
      </c>
      <c r="E78" s="174">
        <f>IFERROR(SUMIFS(tblTx[THB Equivalent],tblTx[Subcategory],[@Category],tblTx[Date],"&gt;="&amp;DATE(2026,7,1),tblTx[Date],"&lt;="&amp;EOMONTH(DATE(2026,7,1),0)),0)</f>
        <v/>
      </c>
      <c r="F78" s="174">
        <f>D78-E78</f>
        <v/>
      </c>
      <c r="G78" s="132">
        <f>IFERROR(E78/D78,0)</f>
        <v/>
      </c>
      <c r="H78" s="137">
        <f>IF(G78&gt;1,"Over Budget",IF(G78&gt;=0.9,"Warning","Normal"))</f>
        <v/>
      </c>
      <c r="I78" s="142" t="inlineStr">
        <is>
          <t>Fixed 1,200 (iCloud+YouTube 500 + DTAC 700) + Variable 5,800</t>
        </is>
      </c>
    </row>
    <row r="79">
      <c r="B79" s="127" t="n">
        <v>46204</v>
      </c>
      <c r="C79" s="136" t="inlineStr">
        <is>
          <t>Cat</t>
        </is>
      </c>
      <c r="D79" s="174" t="n">
        <v>2000</v>
      </c>
      <c r="E79" s="174">
        <f>IFERROR(SUMIFS(tblTx[THB Equivalent],tblTx[Subcategory],[@Category],tblTx[Date],"&gt;="&amp;DATE(2026,7,1),tblTx[Date],"&lt;="&amp;EOMONTH(DATE(2026,7,1),0)),0)</f>
        <v/>
      </c>
      <c r="F79" s="174">
        <f>D79-E79</f>
        <v/>
      </c>
      <c r="G79" s="132">
        <f>IFERROR(E79/D79,0)</f>
        <v/>
      </c>
      <c r="H79" s="137">
        <f>IF(G79&gt;1,"Over Budget",IF(G79&gt;=0.9,"Warning","Normal"))</f>
        <v/>
      </c>
      <c r="I79" s="142" t="inlineStr">
        <is>
          <t>ค่าแมว</t>
        </is>
      </c>
    </row>
    <row r="80">
      <c r="B80" s="127" t="n">
        <v>46204</v>
      </c>
      <c r="C80" s="136" t="inlineStr">
        <is>
          <t>Parking</t>
        </is>
      </c>
      <c r="D80" s="174" t="n">
        <v>1600</v>
      </c>
      <c r="E80" s="174">
        <f>IFERROR(SUMIFS(tblTx[THB Equivalent],tblTx[Subcategory],[@Category],tblTx[Date],"&gt;="&amp;DATE(2026,7,1),tblTx[Date],"&lt;="&amp;EOMONTH(DATE(2026,7,1),0)),0)</f>
        <v/>
      </c>
      <c r="F80" s="174">
        <f>D80-E80</f>
        <v/>
      </c>
      <c r="G80" s="132">
        <f>IFERROR(E80/D80,0)</f>
        <v/>
      </c>
      <c r="H80" s="137">
        <f>IF(G80&gt;1,"Over Budget",IF(G80&gt;=0.9,"Warning","Normal"))</f>
        <v/>
      </c>
      <c r="I80" s="142" t="inlineStr">
        <is>
          <t>หักจากเงินเดือน</t>
        </is>
      </c>
    </row>
    <row r="81">
      <c r="B81" s="127" t="n">
        <v>46204</v>
      </c>
      <c r="C81" s="136" t="inlineStr">
        <is>
          <t>US Stocks</t>
        </is>
      </c>
      <c r="D81" s="174" t="n">
        <v>3000</v>
      </c>
      <c r="E81" s="174">
        <f>IFERROR(SUMIFS(tblTx[THB Equivalent],tblTx[Subcategory],[@Category],tblTx[Date],"&gt;="&amp;DATE(2026,7,1),tblTx[Date],"&lt;="&amp;EOMONTH(DATE(2026,7,1),0)),0)</f>
        <v/>
      </c>
      <c r="F81" s="174">
        <f>D81-E81</f>
        <v/>
      </c>
      <c r="G81" s="132">
        <f>IFERROR(E81/D81,0)</f>
        <v/>
      </c>
      <c r="H81" s="137">
        <f>IF(G81&gt;1,"Over Budget",IF(G81&gt;=0.9,"Warning","Normal"))</f>
        <v/>
      </c>
      <c r="I81" s="142" t="inlineStr">
        <is>
          <t>DCA หุ้นสหรัฐ</t>
        </is>
      </c>
    </row>
    <row r="82">
      <c r="B82" s="127" t="n">
        <v>46204</v>
      </c>
      <c r="C82" s="136" t="inlineStr">
        <is>
          <t>Investment Reserve</t>
        </is>
      </c>
      <c r="D82" s="174" t="n">
        <v>1000</v>
      </c>
      <c r="E82" s="174">
        <f>IFERROR(SUMIFS(tblTx[THB Equivalent],tblTx[Subcategory],[@Category],tblTx[Date],"&gt;="&amp;DATE(2026,7,1),tblTx[Date],"&lt;="&amp;EOMONTH(DATE(2026,7,1),0)),0)</f>
        <v/>
      </c>
      <c r="F82" s="174">
        <f>D82-E82</f>
        <v/>
      </c>
      <c r="G82" s="132">
        <f>IFERROR(E82/D82,0)</f>
        <v/>
      </c>
      <c r="H82" s="137">
        <f>IF(G82&gt;1,"Over Budget",IF(G82&gt;=0.9,"Warning","Normal"))</f>
        <v/>
      </c>
      <c r="I82" s="142" t="inlineStr">
        <is>
          <t>เงินสำรองเพื่อการลงทุน</t>
        </is>
      </c>
    </row>
    <row r="83">
      <c r="B83" s="127" t="n">
        <v>46204</v>
      </c>
      <c r="C83" s="136" t="inlineStr">
        <is>
          <t>PVD</t>
        </is>
      </c>
      <c r="D83" s="174" t="n">
        <v>2842</v>
      </c>
      <c r="E83" s="174">
        <f>IFERROR(SUMIFS(tblTx[THB Equivalent],tblTx[Subcategory],[@Category],tblTx[Date],"&gt;="&amp;DATE(2026,7,1),tblTx[Date],"&lt;="&amp;EOMONTH(DATE(2026,7,1),0)),0)</f>
        <v/>
      </c>
      <c r="F83" s="174">
        <f>D83-E83</f>
        <v/>
      </c>
      <c r="G83" s="132">
        <f>IFERROR(E83/D83,0)</f>
        <v/>
      </c>
      <c r="H83" s="137">
        <f>IF(G83&gt;1,"Over Budget",IF(G83&gt;=0.9,"Warning","Normal"))</f>
        <v/>
      </c>
      <c r="I83" s="142" t="inlineStr">
        <is>
          <t>เงินสะสมพนักงาน 15% (หักจากเงินเดือน)</t>
        </is>
      </c>
    </row>
    <row r="84">
      <c r="B84" s="127" t="n">
        <v>46235</v>
      </c>
      <c r="C84" s="136" t="inlineStr">
        <is>
          <t>Daily Expenses</t>
        </is>
      </c>
      <c r="D84" s="174" t="n">
        <v>7000</v>
      </c>
      <c r="E84" s="174">
        <f>IFERROR(SUMIFS(tblTx[THB Equivalent],tblTx[Subcategory],[@Category],tblTx[Date],"&gt;="&amp;DATE(2026,8,1),tblTx[Date],"&lt;="&amp;EOMONTH(DATE(2026,8,1),0)),0)</f>
        <v/>
      </c>
      <c r="F84" s="174">
        <f>D84-E84</f>
        <v/>
      </c>
      <c r="G84" s="132">
        <f>IFERROR(E84/D84,0)</f>
        <v/>
      </c>
      <c r="H84" s="137">
        <f>IF(G84&gt;1,"Over Budget",IF(G84&gt;=0.9,"Warning","Normal"))</f>
        <v/>
      </c>
      <c r="I84" s="142" t="inlineStr">
        <is>
          <t>Fixed 1,200 (iCloud+YouTube 500 + DTAC 700) + Variable 5,800</t>
        </is>
      </c>
    </row>
    <row r="85">
      <c r="B85" s="127" t="n">
        <v>46235</v>
      </c>
      <c r="C85" s="136" t="inlineStr">
        <is>
          <t>Cat</t>
        </is>
      </c>
      <c r="D85" s="174" t="n">
        <v>2000</v>
      </c>
      <c r="E85" s="174">
        <f>IFERROR(SUMIFS(tblTx[THB Equivalent],tblTx[Subcategory],[@Category],tblTx[Date],"&gt;="&amp;DATE(2026,8,1),tblTx[Date],"&lt;="&amp;EOMONTH(DATE(2026,8,1),0)),0)</f>
        <v/>
      </c>
      <c r="F85" s="174">
        <f>D85-E85</f>
        <v/>
      </c>
      <c r="G85" s="132">
        <f>IFERROR(E85/D85,0)</f>
        <v/>
      </c>
      <c r="H85" s="137">
        <f>IF(G85&gt;1,"Over Budget",IF(G85&gt;=0.9,"Warning","Normal"))</f>
        <v/>
      </c>
      <c r="I85" s="142" t="inlineStr">
        <is>
          <t>ค่าแมว</t>
        </is>
      </c>
    </row>
    <row r="86">
      <c r="B86" s="127" t="n">
        <v>46235</v>
      </c>
      <c r="C86" s="136" t="inlineStr">
        <is>
          <t>Parking</t>
        </is>
      </c>
      <c r="D86" s="174" t="n">
        <v>1600</v>
      </c>
      <c r="E86" s="174">
        <f>IFERROR(SUMIFS(tblTx[THB Equivalent],tblTx[Subcategory],[@Category],tblTx[Date],"&gt;="&amp;DATE(2026,8,1),tblTx[Date],"&lt;="&amp;EOMONTH(DATE(2026,8,1),0)),0)</f>
        <v/>
      </c>
      <c r="F86" s="174">
        <f>D86-E86</f>
        <v/>
      </c>
      <c r="G86" s="132">
        <f>IFERROR(E86/D86,0)</f>
        <v/>
      </c>
      <c r="H86" s="137">
        <f>IF(G86&gt;1,"Over Budget",IF(G86&gt;=0.9,"Warning","Normal"))</f>
        <v/>
      </c>
      <c r="I86" s="142" t="inlineStr">
        <is>
          <t>หักจากเงินเดือน</t>
        </is>
      </c>
    </row>
    <row r="87">
      <c r="B87" s="127" t="n">
        <v>46235</v>
      </c>
      <c r="C87" s="136" t="inlineStr">
        <is>
          <t>US Stocks</t>
        </is>
      </c>
      <c r="D87" s="174" t="n">
        <v>3000</v>
      </c>
      <c r="E87" s="174">
        <f>IFERROR(SUMIFS(tblTx[THB Equivalent],tblTx[Subcategory],[@Category],tblTx[Date],"&gt;="&amp;DATE(2026,8,1),tblTx[Date],"&lt;="&amp;EOMONTH(DATE(2026,8,1),0)),0)</f>
        <v/>
      </c>
      <c r="F87" s="174">
        <f>D87-E87</f>
        <v/>
      </c>
      <c r="G87" s="132">
        <f>IFERROR(E87/D87,0)</f>
        <v/>
      </c>
      <c r="H87" s="137">
        <f>IF(G87&gt;1,"Over Budget",IF(G87&gt;=0.9,"Warning","Normal"))</f>
        <v/>
      </c>
      <c r="I87" s="142" t="inlineStr">
        <is>
          <t>DCA หุ้นสหรัฐ</t>
        </is>
      </c>
    </row>
    <row r="88">
      <c r="B88" s="127" t="n">
        <v>46235</v>
      </c>
      <c r="C88" s="136" t="inlineStr">
        <is>
          <t>Investment Reserve</t>
        </is>
      </c>
      <c r="D88" s="174" t="n">
        <v>1000</v>
      </c>
      <c r="E88" s="174">
        <f>IFERROR(SUMIFS(tblTx[THB Equivalent],tblTx[Subcategory],[@Category],tblTx[Date],"&gt;="&amp;DATE(2026,8,1),tblTx[Date],"&lt;="&amp;EOMONTH(DATE(2026,8,1),0)),0)</f>
        <v/>
      </c>
      <c r="F88" s="174">
        <f>D88-E88</f>
        <v/>
      </c>
      <c r="G88" s="132">
        <f>IFERROR(E88/D88,0)</f>
        <v/>
      </c>
      <c r="H88" s="137">
        <f>IF(G88&gt;1,"Over Budget",IF(G88&gt;=0.9,"Warning","Normal"))</f>
        <v/>
      </c>
      <c r="I88" s="142" t="inlineStr">
        <is>
          <t>เงินสำรองเพื่อการลงทุน</t>
        </is>
      </c>
    </row>
    <row r="89">
      <c r="B89" s="127" t="n">
        <v>46235</v>
      </c>
      <c r="C89" s="136" t="inlineStr">
        <is>
          <t>PVD</t>
        </is>
      </c>
      <c r="D89" s="174" t="n">
        <v>2842</v>
      </c>
      <c r="E89" s="174">
        <f>IFERROR(SUMIFS(tblTx[THB Equivalent],tblTx[Subcategory],[@Category],tblTx[Date],"&gt;="&amp;DATE(2026,8,1),tblTx[Date],"&lt;="&amp;EOMONTH(DATE(2026,8,1),0)),0)</f>
        <v/>
      </c>
      <c r="F89" s="174">
        <f>D89-E89</f>
        <v/>
      </c>
      <c r="G89" s="132">
        <f>IFERROR(E89/D89,0)</f>
        <v/>
      </c>
      <c r="H89" s="137">
        <f>IF(G89&gt;1,"Over Budget",IF(G89&gt;=0.9,"Warning","Normal"))</f>
        <v/>
      </c>
      <c r="I89" s="142" t="inlineStr">
        <is>
          <t>เงินสะสมพนักงาน 15% (หักจากเงินเดือน)</t>
        </is>
      </c>
    </row>
    <row r="90">
      <c r="B90" s="127" t="n">
        <v>46266</v>
      </c>
      <c r="C90" s="136" t="inlineStr">
        <is>
          <t>Daily Expenses</t>
        </is>
      </c>
      <c r="D90" s="174" t="n">
        <v>7000</v>
      </c>
      <c r="E90" s="174">
        <f>IFERROR(SUMIFS(tblTx[THB Equivalent],tblTx[Subcategory],[@Category],tblTx[Date],"&gt;="&amp;DATE(2026,9,1),tblTx[Date],"&lt;="&amp;EOMONTH(DATE(2026,9,1),0)),0)</f>
        <v/>
      </c>
      <c r="F90" s="174">
        <f>D90-E90</f>
        <v/>
      </c>
      <c r="G90" s="132">
        <f>IFERROR(E90/D90,0)</f>
        <v/>
      </c>
      <c r="H90" s="137">
        <f>IF(G90&gt;1,"Over Budget",IF(G90&gt;=0.9,"Warning","Normal"))</f>
        <v/>
      </c>
      <c r="I90" s="142" t="inlineStr">
        <is>
          <t>Fixed 1,200 (iCloud+YouTube 500 + DTAC 700) + Variable 5,800</t>
        </is>
      </c>
    </row>
    <row r="91">
      <c r="B91" s="127" t="n">
        <v>46266</v>
      </c>
      <c r="C91" s="136" t="inlineStr">
        <is>
          <t>Cat</t>
        </is>
      </c>
      <c r="D91" s="174" t="n">
        <v>2000</v>
      </c>
      <c r="E91" s="174">
        <f>IFERROR(SUMIFS(tblTx[THB Equivalent],tblTx[Subcategory],[@Category],tblTx[Date],"&gt;="&amp;DATE(2026,9,1),tblTx[Date],"&lt;="&amp;EOMONTH(DATE(2026,9,1),0)),0)</f>
        <v/>
      </c>
      <c r="F91" s="174">
        <f>D91-E91</f>
        <v/>
      </c>
      <c r="G91" s="132">
        <f>IFERROR(E91/D91,0)</f>
        <v/>
      </c>
      <c r="H91" s="137">
        <f>IF(G91&gt;1,"Over Budget",IF(G91&gt;=0.9,"Warning","Normal"))</f>
        <v/>
      </c>
      <c r="I91" s="142" t="inlineStr">
        <is>
          <t>ค่าแมว</t>
        </is>
      </c>
    </row>
    <row r="92">
      <c r="B92" s="127" t="n">
        <v>46266</v>
      </c>
      <c r="C92" s="136" t="inlineStr">
        <is>
          <t>Parking</t>
        </is>
      </c>
      <c r="D92" s="174" t="n">
        <v>1600</v>
      </c>
      <c r="E92" s="174">
        <f>IFERROR(SUMIFS(tblTx[THB Equivalent],tblTx[Subcategory],[@Category],tblTx[Date],"&gt;="&amp;DATE(2026,9,1),tblTx[Date],"&lt;="&amp;EOMONTH(DATE(2026,9,1),0)),0)</f>
        <v/>
      </c>
      <c r="F92" s="174">
        <f>D92-E92</f>
        <v/>
      </c>
      <c r="G92" s="132">
        <f>IFERROR(E92/D92,0)</f>
        <v/>
      </c>
      <c r="H92" s="137">
        <f>IF(G92&gt;1,"Over Budget",IF(G92&gt;=0.9,"Warning","Normal"))</f>
        <v/>
      </c>
      <c r="I92" s="142" t="inlineStr">
        <is>
          <t>หักจากเงินเดือน</t>
        </is>
      </c>
    </row>
    <row r="93">
      <c r="B93" s="127" t="n">
        <v>46266</v>
      </c>
      <c r="C93" s="136" t="inlineStr">
        <is>
          <t>US Stocks</t>
        </is>
      </c>
      <c r="D93" s="174" t="n">
        <v>3000</v>
      </c>
      <c r="E93" s="174">
        <f>IFERROR(SUMIFS(tblTx[THB Equivalent],tblTx[Subcategory],[@Category],tblTx[Date],"&gt;="&amp;DATE(2026,9,1),tblTx[Date],"&lt;="&amp;EOMONTH(DATE(2026,9,1),0)),0)</f>
        <v/>
      </c>
      <c r="F93" s="174">
        <f>D93-E93</f>
        <v/>
      </c>
      <c r="G93" s="132">
        <f>IFERROR(E93/D93,0)</f>
        <v/>
      </c>
      <c r="H93" s="137">
        <f>IF(G93&gt;1,"Over Budget",IF(G93&gt;=0.9,"Warning","Normal"))</f>
        <v/>
      </c>
      <c r="I93" s="142" t="inlineStr">
        <is>
          <t>DCA หุ้นสหรัฐ</t>
        </is>
      </c>
    </row>
    <row r="94">
      <c r="B94" s="127" t="n">
        <v>46266</v>
      </c>
      <c r="C94" s="136" t="inlineStr">
        <is>
          <t>Investment Reserve</t>
        </is>
      </c>
      <c r="D94" s="174" t="n">
        <v>1000</v>
      </c>
      <c r="E94" s="174">
        <f>IFERROR(SUMIFS(tblTx[THB Equivalent],tblTx[Subcategory],[@Category],tblTx[Date],"&gt;="&amp;DATE(2026,9,1),tblTx[Date],"&lt;="&amp;EOMONTH(DATE(2026,9,1),0)),0)</f>
        <v/>
      </c>
      <c r="F94" s="174">
        <f>D94-E94</f>
        <v/>
      </c>
      <c r="G94" s="132">
        <f>IFERROR(E94/D94,0)</f>
        <v/>
      </c>
      <c r="H94" s="137">
        <f>IF(G94&gt;1,"Over Budget",IF(G94&gt;=0.9,"Warning","Normal"))</f>
        <v/>
      </c>
      <c r="I94" s="142" t="inlineStr">
        <is>
          <t>เงินสำรองเพื่อการลงทุน</t>
        </is>
      </c>
    </row>
    <row r="95">
      <c r="B95" s="127" t="n">
        <v>46266</v>
      </c>
      <c r="C95" s="136" t="inlineStr">
        <is>
          <t>PVD</t>
        </is>
      </c>
      <c r="D95" s="174" t="n">
        <v>2842</v>
      </c>
      <c r="E95" s="174">
        <f>IFERROR(SUMIFS(tblTx[THB Equivalent],tblTx[Subcategory],[@Category],tblTx[Date],"&gt;="&amp;DATE(2026,9,1),tblTx[Date],"&lt;="&amp;EOMONTH(DATE(2026,9,1),0)),0)</f>
        <v/>
      </c>
      <c r="F95" s="174">
        <f>D95-E95</f>
        <v/>
      </c>
      <c r="G95" s="132">
        <f>IFERROR(E95/D95,0)</f>
        <v/>
      </c>
      <c r="H95" s="137">
        <f>IF(G95&gt;1,"Over Budget",IF(G95&gt;=0.9,"Warning","Normal"))</f>
        <v/>
      </c>
      <c r="I95" s="142" t="inlineStr">
        <is>
          <t>เงินสะสมพนักงาน 15% (หักจากเงินเดือน)</t>
        </is>
      </c>
    </row>
  </sheetData>
  <conditionalFormatting sqref="H6:H95">
    <cfRule type="expression" priority="1" dxfId="5">
      <formula>$H6="Over Budget"</formula>
    </cfRule>
    <cfRule type="expression" priority="2" dxfId="4">
      <formula>$H6="Warning"</formula>
    </cfRule>
    <cfRule type="expression" priority="3" dxfId="3">
      <formula>$H6="Normal"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D97706"/>
    <outlinePr summaryBelow="1" summaryRight="1"/>
    <pageSetUpPr/>
  </sheetPr>
  <dimension ref="B2:Q8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0" customWidth="1" min="3" max="3"/>
    <col width="24" customWidth="1" min="4" max="4"/>
    <col width="14" customWidth="1" min="5" max="5"/>
    <col width="14" customWidth="1" min="6" max="6"/>
    <col width="16" customWidth="1" min="7" max="7"/>
    <col width="15" customWidth="1" min="8" max="8"/>
    <col width="15" customWidth="1" min="9" max="9"/>
    <col width="10" customWidth="1" min="10" max="10"/>
    <col width="16" customWidth="1" min="11" max="11"/>
    <col width="13" customWidth="1" min="12" max="12"/>
    <col width="13" customWidth="1" min="13" max="13"/>
    <col width="14" customWidth="1" min="14" max="14"/>
    <col width="13" customWidth="1" min="15" max="15"/>
    <col width="14" customWidth="1" min="16" max="16"/>
    <col width="44" customWidth="1" min="17" max="17"/>
  </cols>
  <sheetData>
    <row r="2" ht="26" customHeight="1">
      <c r="B2" s="124" t="inlineStr">
        <is>
          <t>11_TAX — ข้อมูลภาษี</t>
        </is>
      </c>
    </row>
    <row r="3" ht="14" customHeight="1">
      <c r="B3" s="125" t="inlineStr">
        <is>
          <t>ยังไม่มีข้อมูลภาษีในไฟล์ต้นทาง — โครงสร้างพร้อมใช้ | รายการที่ระบบดึงได้อัตโนมัติแสดงเป็นแถวตั้งต้น</t>
        </is>
      </c>
    </row>
    <row r="5" ht="30" customHeight="1">
      <c r="B5" s="126" t="inlineStr">
        <is>
          <t>Tax Year</t>
        </is>
      </c>
      <c r="C5" s="126" t="inlineStr">
        <is>
          <t>Income Type</t>
        </is>
      </c>
      <c r="D5" s="126" t="inlineStr">
        <is>
          <t>Income Source</t>
        </is>
      </c>
      <c r="E5" s="126" t="inlineStr">
        <is>
          <t>Amount</t>
        </is>
      </c>
      <c r="F5" s="126" t="inlineStr">
        <is>
          <t>Deduction</t>
        </is>
      </c>
      <c r="G5" s="126" t="inlineStr">
        <is>
          <t>Taxable Income</t>
        </is>
      </c>
      <c r="H5" s="126" t="inlineStr">
        <is>
          <t>Withholding Tax</t>
        </is>
      </c>
      <c r="I5" s="126" t="inlineStr">
        <is>
          <t>Foreign Income</t>
        </is>
      </c>
      <c r="J5" s="126" t="inlineStr">
        <is>
          <t>FX Rate</t>
        </is>
      </c>
      <c r="K5" s="126" t="inlineStr">
        <is>
          <t>THB Equivalent</t>
        </is>
      </c>
      <c r="L5" s="126" t="inlineStr">
        <is>
          <t>Tax Paid</t>
        </is>
      </c>
      <c r="M5" s="126" t="inlineStr">
        <is>
          <t>Tax Refund</t>
        </is>
      </c>
      <c r="N5" s="126" t="inlineStr">
        <is>
          <t>Tax Payable</t>
        </is>
      </c>
      <c r="O5" s="126" t="inlineStr">
        <is>
          <t>Status</t>
        </is>
      </c>
      <c r="P5" s="126" t="inlineStr">
        <is>
          <t>Payment Date</t>
        </is>
      </c>
      <c r="Q5" s="126" t="inlineStr">
        <is>
          <t>Note</t>
        </is>
      </c>
    </row>
    <row r="6">
      <c r="B6" s="178" t="n">
        <v>2569</v>
      </c>
      <c r="C6" s="137" t="inlineStr">
        <is>
          <t>Salary</t>
        </is>
      </c>
      <c r="D6" s="136" t="inlineStr">
        <is>
          <t>เงินเดือน + ค่าเดินทาง + ค่าครองชีพ</t>
        </is>
      </c>
      <c r="E6" s="130">
        <f>XLOOKUP("BASE_SALARY",tblSettings[Key],tblSettings[Value])*12+XLOOKUP("TRAVEL_ALLOWANCE",tblSettings[Key],tblSettings[Value])*12+XLOOKUP("COST_OF_LIVING",tblSettings[Key],tblSettings[Value])*12</f>
        <v/>
      </c>
      <c r="F6" s="128">
        <f>IFERROR(SUMIFS(tblTx[THB Equivalent],tblTx[Type],"PVD Contribution"),0)</f>
        <v/>
      </c>
      <c r="G6" s="128">
        <f>MAX(0,E6-F6)</f>
        <v/>
      </c>
      <c r="H6" s="128" t="n">
        <v>0</v>
      </c>
      <c r="I6" s="137" t="inlineStr">
        <is>
          <t>No</t>
        </is>
      </c>
      <c r="J6" s="155">
        <f>IF(I6="Yes",XLOOKUP("CURRENT_FX_USDTHB",tblSettings[Key],tblSettings[Value]),1)</f>
        <v/>
      </c>
      <c r="K6" s="128">
        <f>E6</f>
        <v/>
      </c>
      <c r="L6" s="128" t="n">
        <v>0</v>
      </c>
      <c r="M6" s="128" t="n">
        <v>0</v>
      </c>
      <c r="N6" s="128">
        <f>MAX(0,H6-L6)</f>
        <v/>
      </c>
      <c r="O6" s="149" t="inlineStr">
        <is>
          <t>Estimated</t>
        </is>
      </c>
      <c r="P6" s="137" t="inlineStr">
        <is>
          <t>N/A</t>
        </is>
      </c>
      <c r="Q6" s="142" t="inlineStr">
        <is>
          <t>ประมาณการจาก 17_SETTINGS — ยังไม่ใส่ค่าลดหย่อนส่วนตัว/ประกัน</t>
        </is>
      </c>
    </row>
    <row r="7">
      <c r="B7" s="178" t="n">
        <v>2569</v>
      </c>
      <c r="C7" s="137" t="inlineStr">
        <is>
          <t>Interest</t>
        </is>
      </c>
      <c r="D7" s="136" t="inlineStr">
        <is>
          <t>ดอกเบี้ยเงินฝาก Dime</t>
        </is>
      </c>
      <c r="E7" s="130">
        <f>IFERROR(SUMIFS(tblTx[THB Equivalent],tblTx[Type],"Interest"),0)</f>
        <v/>
      </c>
      <c r="F7" s="128" t="n">
        <v>0</v>
      </c>
      <c r="G7" s="128">
        <f>MAX(0,E7-F7)</f>
        <v/>
      </c>
      <c r="H7" s="128" t="n">
        <v>0</v>
      </c>
      <c r="I7" s="137" t="inlineStr">
        <is>
          <t>No</t>
        </is>
      </c>
      <c r="J7" s="155">
        <f>IF(I7="Yes",XLOOKUP("CURRENT_FX_USDTHB",tblSettings[Key],tblSettings[Value]),1)</f>
        <v/>
      </c>
      <c r="K7" s="128">
        <f>E7</f>
        <v/>
      </c>
      <c r="L7" s="128" t="n">
        <v>0</v>
      </c>
      <c r="M7" s="128" t="n">
        <v>0</v>
      </c>
      <c r="N7" s="128">
        <f>MAX(0,H7-L7)</f>
        <v/>
      </c>
      <c r="O7" s="145" t="inlineStr">
        <is>
          <t>Actual</t>
        </is>
      </c>
      <c r="P7" s="137" t="inlineStr">
        <is>
          <t>N/A</t>
        </is>
      </c>
      <c r="Q7" s="142" t="inlineStr">
        <is>
          <t>ดอกเบี้ยจริงจาก 04_TRANSACTIONS (WHT 15%)</t>
        </is>
      </c>
    </row>
    <row r="8">
      <c r="B8" s="178" t="n">
        <v>2569</v>
      </c>
      <c r="C8" s="137" t="inlineStr">
        <is>
          <t>Foreign Capital Gain</t>
        </is>
      </c>
      <c r="D8" s="136" t="inlineStr">
        <is>
          <t>กำไรจากการขายหุ้นสหรัฐ + ทอง (Dime)</t>
        </is>
      </c>
      <c r="E8" s="130">
        <f>IFERROR(SUMIFS(tblInvTx[Realized P/L],tblInvTx[Transaction Type],"Sell")*XLOOKUP("CURRENT_FX_USDTHB",tblSettings[Key],tblSettings[Value]),0)</f>
        <v/>
      </c>
      <c r="F8" s="128" t="n">
        <v>0</v>
      </c>
      <c r="G8" s="128">
        <f>MAX(0,E8-F8)</f>
        <v/>
      </c>
      <c r="H8" s="128" t="n">
        <v>0</v>
      </c>
      <c r="I8" s="137" t="inlineStr">
        <is>
          <t>Yes</t>
        </is>
      </c>
      <c r="J8" s="155">
        <f>IF(I8="Yes",XLOOKUP("CURRENT_FX_USDTHB",tblSettings[Key],tblSettings[Value]),1)</f>
        <v/>
      </c>
      <c r="K8" s="128">
        <f>E8</f>
        <v/>
      </c>
      <c r="L8" s="128" t="n">
        <v>0</v>
      </c>
      <c r="M8" s="128" t="n">
        <v>0</v>
      </c>
      <c r="N8" s="128">
        <f>MAX(0,H8-L8)</f>
        <v/>
      </c>
      <c r="O8" s="149" t="inlineStr">
        <is>
          <t>Estimated</t>
        </is>
      </c>
      <c r="P8" s="137" t="inlineStr">
        <is>
          <t>N/A</t>
        </is>
      </c>
      <c r="Q8" s="142" t="inlineStr">
        <is>
          <t>Realized P/L รวมจาก 07_INVESTMENT_TX — ต้องตรวจเกณฑ์นำเงินเข้าไทยในปีภาษีเดียวกัน</t>
        </is>
      </c>
    </row>
  </sheetData>
  <dataValidations count="1">
    <dataValidation sqref="O6:O68" showDropDown="0" showInputMessage="0" showErrorMessage="0" allowBlank="1" errorTitle="ค่าไม่ถูกต้อง" error="ต้องเลือกจากรายการ TaxStatus เท่านั้น" type="list" errorStyle="stop">
      <formula1>_LISTS!$J$2:$J$4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6FEB"/>
    <outlinePr summaryBelow="1" summaryRight="1"/>
    <pageSetUpPr/>
  </sheetPr>
  <dimension ref="B2:J29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4" customWidth="1" min="3" max="3"/>
    <col width="12" customWidth="1" min="4" max="4"/>
    <col width="40" customWidth="1" min="5" max="5"/>
    <col width="16" customWidth="1" min="6" max="6"/>
    <col width="26" customWidth="1" min="7" max="7"/>
    <col width="14" customWidth="1" min="8" max="8"/>
    <col width="13" customWidth="1" min="9" max="9"/>
    <col width="13" customWidth="1" min="10" max="10"/>
  </cols>
  <sheetData>
    <row r="2" ht="26" customHeight="1">
      <c r="B2" s="124" t="inlineStr">
        <is>
          <t>12_FX — ประวัติอัตราแลกเปลี่ยน</t>
        </is>
      </c>
    </row>
    <row r="3" ht="14" customHeight="1">
      <c r="B3" s="125" t="inlineStr">
        <is>
          <t>ธุรกรรมย้อนหลังใช้ FX ของวันที่เกิดรายการเสมอ (Historical) — ไม่ใช้ Current FX แทน</t>
        </is>
      </c>
    </row>
    <row r="5" ht="30" customHeight="1">
      <c r="B5" s="126" t="inlineStr">
        <is>
          <t>Date</t>
        </is>
      </c>
      <c r="C5" s="126" t="inlineStr">
        <is>
          <t>Currency Pair</t>
        </is>
      </c>
      <c r="D5" s="126" t="inlineStr">
        <is>
          <t>Rate</t>
        </is>
      </c>
      <c r="E5" s="126" t="inlineStr">
        <is>
          <t>Source</t>
        </is>
      </c>
      <c r="F5" s="126" t="inlineStr">
        <is>
          <t>Transaction ID</t>
        </is>
      </c>
      <c r="G5" s="126" t="inlineStr">
        <is>
          <t>Used For</t>
        </is>
      </c>
      <c r="H5" s="126" t="inlineStr">
        <is>
          <t>Type</t>
        </is>
      </c>
      <c r="I5" s="126" t="inlineStr">
        <is>
          <t>THB Amount</t>
        </is>
      </c>
      <c r="J5" s="126" t="inlineStr">
        <is>
          <t>USD Amount</t>
        </is>
      </c>
    </row>
    <row r="6">
      <c r="B6" s="144" t="n">
        <v>45871</v>
      </c>
      <c r="C6" s="137" t="inlineStr">
        <is>
          <t>USD/THB</t>
        </is>
      </c>
      <c r="D6" s="179" t="n">
        <v>32.34</v>
      </c>
      <c r="E6" s="138" t="inlineStr">
        <is>
          <t>DIME EX</t>
        </is>
      </c>
      <c r="F6" s="137" t="inlineStr">
        <is>
          <t>—</t>
        </is>
      </c>
      <c r="G6" s="138" t="inlineStr">
        <is>
          <t>Actual conversion Dime Save→FCD</t>
        </is>
      </c>
      <c r="H6" s="137" t="inlineStr">
        <is>
          <t>Actual</t>
        </is>
      </c>
      <c r="I6" s="128" t="n">
        <v>4042.5</v>
      </c>
      <c r="J6" s="146" t="n">
        <v>125</v>
      </c>
    </row>
    <row r="7">
      <c r="B7" s="144" t="n">
        <v>45875</v>
      </c>
      <c r="C7" s="137" t="inlineStr">
        <is>
          <t>USD/THB</t>
        </is>
      </c>
      <c r="D7" s="179" t="n">
        <v>32.18</v>
      </c>
      <c r="E7" s="138" t="inlineStr">
        <is>
          <t>DIME EX</t>
        </is>
      </c>
      <c r="F7" s="137" t="inlineStr">
        <is>
          <t>—</t>
        </is>
      </c>
      <c r="G7" s="138" t="inlineStr">
        <is>
          <t>Actual conversion Dime Save→FCD</t>
        </is>
      </c>
      <c r="H7" s="137" t="inlineStr">
        <is>
          <t>Actual</t>
        </is>
      </c>
      <c r="I7" s="128" t="n">
        <v>25000</v>
      </c>
      <c r="J7" s="146" t="n">
        <v>776.88</v>
      </c>
    </row>
    <row r="8">
      <c r="B8" s="144" t="n">
        <v>45878</v>
      </c>
      <c r="C8" s="137" t="inlineStr">
        <is>
          <t>USD/THB</t>
        </is>
      </c>
      <c r="D8" s="179" t="n">
        <v>32.45</v>
      </c>
      <c r="E8" s="138" t="inlineStr">
        <is>
          <t>DIME EX</t>
        </is>
      </c>
      <c r="F8" s="137" t="inlineStr">
        <is>
          <t>—</t>
        </is>
      </c>
      <c r="G8" s="138" t="inlineStr">
        <is>
          <t>Actual conversion Dime Save→FCD</t>
        </is>
      </c>
      <c r="H8" s="137" t="inlineStr">
        <is>
          <t>Actual</t>
        </is>
      </c>
      <c r="I8" s="128" t="n">
        <v>9360.200000000001</v>
      </c>
      <c r="J8" s="146" t="n">
        <v>288.45</v>
      </c>
    </row>
    <row r="9">
      <c r="B9" s="144" t="n">
        <v>45898</v>
      </c>
      <c r="C9" s="137" t="inlineStr">
        <is>
          <t>USD/THB</t>
        </is>
      </c>
      <c r="D9" s="179" t="n">
        <v>32.16</v>
      </c>
      <c r="E9" s="138" t="inlineStr">
        <is>
          <t>DIME EX</t>
        </is>
      </c>
      <c r="F9" s="137" t="inlineStr">
        <is>
          <t>—</t>
        </is>
      </c>
      <c r="G9" s="138" t="inlineStr">
        <is>
          <t>Actual conversion Dime Save→FCD</t>
        </is>
      </c>
      <c r="H9" s="137" t="inlineStr">
        <is>
          <t>Actual</t>
        </is>
      </c>
      <c r="I9" s="128" t="n">
        <v>3999.74</v>
      </c>
      <c r="J9" s="146" t="n">
        <v>124.37</v>
      </c>
    </row>
    <row r="10">
      <c r="B10" s="144" t="n">
        <v>45898</v>
      </c>
      <c r="C10" s="137" t="inlineStr">
        <is>
          <t>USD/THB</t>
        </is>
      </c>
      <c r="D10" s="179" t="n">
        <v>32.33</v>
      </c>
      <c r="E10" s="138" t="inlineStr">
        <is>
          <t>DIME EX</t>
        </is>
      </c>
      <c r="F10" s="137" t="inlineStr">
        <is>
          <t>—</t>
        </is>
      </c>
      <c r="G10" s="138" t="inlineStr">
        <is>
          <t>Actual conversion Dime Save→FCD</t>
        </is>
      </c>
      <c r="H10" s="137" t="inlineStr">
        <is>
          <t>Actual</t>
        </is>
      </c>
      <c r="I10" s="128" t="n">
        <v>7999.74</v>
      </c>
      <c r="J10" s="146" t="n">
        <v>247.44</v>
      </c>
    </row>
    <row r="11">
      <c r="B11" s="144" t="n">
        <v>45988</v>
      </c>
      <c r="C11" s="137" t="inlineStr">
        <is>
          <t>USD/THB</t>
        </is>
      </c>
      <c r="D11" s="179" t="n">
        <v>32.29</v>
      </c>
      <c r="E11" s="138" t="inlineStr">
        <is>
          <t>DIME EX</t>
        </is>
      </c>
      <c r="F11" s="137" t="inlineStr">
        <is>
          <t>—</t>
        </is>
      </c>
      <c r="G11" s="138" t="inlineStr">
        <is>
          <t>Actual conversion Dime Save→FCD</t>
        </is>
      </c>
      <c r="H11" s="137" t="inlineStr">
        <is>
          <t>Actual</t>
        </is>
      </c>
      <c r="I11" s="128" t="n">
        <v>9999.889999999999</v>
      </c>
      <c r="J11" s="146" t="n">
        <v>309.69</v>
      </c>
    </row>
    <row r="12">
      <c r="B12" s="144" t="n">
        <v>46020</v>
      </c>
      <c r="C12" s="137" t="inlineStr">
        <is>
          <t>USD/THB</t>
        </is>
      </c>
      <c r="D12" s="179" t="n">
        <v>31.26</v>
      </c>
      <c r="E12" s="138" t="inlineStr">
        <is>
          <t>DIME EX</t>
        </is>
      </c>
      <c r="F12" s="137" t="inlineStr">
        <is>
          <t>—</t>
        </is>
      </c>
      <c r="G12" s="138" t="inlineStr">
        <is>
          <t>Actual conversion Dime Save→FCD</t>
        </is>
      </c>
      <c r="H12" s="137" t="inlineStr">
        <is>
          <t>Actual</t>
        </is>
      </c>
      <c r="I12" s="128" t="n">
        <v>3999.72</v>
      </c>
      <c r="J12" s="146" t="n">
        <v>127.95</v>
      </c>
    </row>
    <row r="13">
      <c r="B13" s="144" t="n">
        <v>46044</v>
      </c>
      <c r="C13" s="137" t="inlineStr">
        <is>
          <t>USD/THB</t>
        </is>
      </c>
      <c r="D13" s="179" t="n">
        <v>31.3801</v>
      </c>
      <c r="E13" s="138" t="inlineStr">
        <is>
          <t>DIME EX</t>
        </is>
      </c>
      <c r="F13" s="137" t="inlineStr">
        <is>
          <t>—</t>
        </is>
      </c>
      <c r="G13" s="138" t="inlineStr">
        <is>
          <t>Actual conversion Dime Save→FCD</t>
        </is>
      </c>
      <c r="H13" s="137" t="inlineStr">
        <is>
          <t>Actual</t>
        </is>
      </c>
      <c r="I13" s="128" t="n">
        <v>999.77</v>
      </c>
      <c r="J13" s="146" t="n">
        <v>31.86</v>
      </c>
    </row>
    <row r="14">
      <c r="B14" s="144" t="n">
        <v>46079</v>
      </c>
      <c r="C14" s="137" t="inlineStr">
        <is>
          <t>USD/THB</t>
        </is>
      </c>
      <c r="D14" s="179" t="n">
        <v>31.09</v>
      </c>
      <c r="E14" s="138" t="inlineStr">
        <is>
          <t>DIME EX</t>
        </is>
      </c>
      <c r="F14" s="137" t="inlineStr">
        <is>
          <t>—</t>
        </is>
      </c>
      <c r="G14" s="138" t="inlineStr">
        <is>
          <t>Actual conversion Dime Save→FCD</t>
        </is>
      </c>
      <c r="H14" s="137" t="inlineStr">
        <is>
          <t>Actual</t>
        </is>
      </c>
      <c r="I14" s="128" t="n">
        <v>2999.87</v>
      </c>
      <c r="J14" s="146" t="n">
        <v>96.48999999999999</v>
      </c>
    </row>
    <row r="15">
      <c r="B15" s="144" t="n">
        <v>46111</v>
      </c>
      <c r="C15" s="137" t="inlineStr">
        <is>
          <t>USD/THB</t>
        </is>
      </c>
      <c r="D15" s="179" t="n">
        <v>33.0099</v>
      </c>
      <c r="E15" s="138" t="inlineStr">
        <is>
          <t>DIME EX</t>
        </is>
      </c>
      <c r="F15" s="137" t="inlineStr">
        <is>
          <t>—</t>
        </is>
      </c>
      <c r="G15" s="138" t="inlineStr">
        <is>
          <t>Actual conversion Dime Save→FCD</t>
        </is>
      </c>
      <c r="H15" s="137" t="inlineStr">
        <is>
          <t>Actual</t>
        </is>
      </c>
      <c r="I15" s="128" t="n">
        <v>999.87</v>
      </c>
      <c r="J15" s="146" t="n">
        <v>30.29</v>
      </c>
    </row>
    <row r="16">
      <c r="B16" s="144" t="n">
        <v>46115</v>
      </c>
      <c r="C16" s="137" t="inlineStr">
        <is>
          <t>USD/THB</t>
        </is>
      </c>
      <c r="D16" s="179" t="n">
        <v>32.7201</v>
      </c>
      <c r="E16" s="138" t="inlineStr">
        <is>
          <t>DIME EX</t>
        </is>
      </c>
      <c r="F16" s="137" t="inlineStr">
        <is>
          <t>—</t>
        </is>
      </c>
      <c r="G16" s="138" t="inlineStr">
        <is>
          <t>Actual conversion Dime Save→FCD</t>
        </is>
      </c>
      <c r="H16" s="137" t="inlineStr">
        <is>
          <t>Actual</t>
        </is>
      </c>
      <c r="I16" s="128" t="n">
        <v>999.6</v>
      </c>
      <c r="J16" s="146" t="n">
        <v>30.55</v>
      </c>
    </row>
    <row r="17">
      <c r="B17" s="144" t="n">
        <v>46143</v>
      </c>
      <c r="C17" s="137" t="inlineStr">
        <is>
          <t>USD/THB</t>
        </is>
      </c>
      <c r="D17" s="179" t="n">
        <v>32.6399</v>
      </c>
      <c r="E17" s="138" t="inlineStr">
        <is>
          <t>DIME EX</t>
        </is>
      </c>
      <c r="F17" s="137" t="inlineStr">
        <is>
          <t>—</t>
        </is>
      </c>
      <c r="G17" s="138" t="inlineStr">
        <is>
          <t>Actual conversion Dime Save→FCD</t>
        </is>
      </c>
      <c r="H17" s="137" t="inlineStr">
        <is>
          <t>Actual</t>
        </is>
      </c>
      <c r="I17" s="128" t="n">
        <v>999.76</v>
      </c>
      <c r="J17" s="146" t="n">
        <v>30.63</v>
      </c>
    </row>
    <row r="18">
      <c r="B18" s="144" t="n">
        <v>46191</v>
      </c>
      <c r="C18" s="137" t="inlineStr">
        <is>
          <t>USD/THB</t>
        </is>
      </c>
      <c r="D18" s="179" t="n">
        <v>32.89</v>
      </c>
      <c r="E18" s="180" t="inlineStr">
        <is>
          <t>DERIVED from ประวัติโยกเงิน (missing in DIME EX)</t>
        </is>
      </c>
      <c r="F18" s="137" t="inlineStr">
        <is>
          <t>—</t>
        </is>
      </c>
      <c r="G18" s="138" t="inlineStr">
        <is>
          <t>Actual conversion Dime Save→FCD</t>
        </is>
      </c>
      <c r="H18" s="149" t="inlineStr">
        <is>
          <t>Derived</t>
        </is>
      </c>
      <c r="I18" s="128" t="n">
        <v>2999.9</v>
      </c>
      <c r="J18" s="146" t="n">
        <v>91.20999999999999</v>
      </c>
    </row>
    <row r="19">
      <c r="B19" s="144" t="n">
        <v>46203</v>
      </c>
      <c r="C19" s="137" t="inlineStr">
        <is>
          <t>USD/THB</t>
        </is>
      </c>
      <c r="D19" s="179" t="n">
        <v>33.2501</v>
      </c>
      <c r="E19" s="180" t="inlineStr">
        <is>
          <t>DERIVED from ประวัติโยกเงิน (missing in DIME EX)</t>
        </is>
      </c>
      <c r="F19" s="137" t="inlineStr">
        <is>
          <t>—</t>
        </is>
      </c>
      <c r="G19" s="138" t="inlineStr">
        <is>
          <t>Actual conversion Dime Save→FCD</t>
        </is>
      </c>
      <c r="H19" s="149" t="inlineStr">
        <is>
          <t>Derived</t>
        </is>
      </c>
      <c r="I19" s="128" t="n">
        <v>2999.82</v>
      </c>
      <c r="J19" s="146" t="n">
        <v>90.22</v>
      </c>
    </row>
    <row r="20">
      <c r="B20" s="144" t="n">
        <v>46224</v>
      </c>
      <c r="C20" s="137" t="inlineStr">
        <is>
          <t>USD/THB</t>
        </is>
      </c>
      <c r="D20" s="179" t="n">
        <v>33.78</v>
      </c>
      <c r="E20" s="138" t="inlineStr">
        <is>
          <t>DIME EX</t>
        </is>
      </c>
      <c r="F20" s="137" t="inlineStr">
        <is>
          <t>FX20260721144916000kpld</t>
        </is>
      </c>
      <c r="G20" s="138" t="inlineStr">
        <is>
          <t>Actual conversion Dime Save→FCD</t>
        </is>
      </c>
      <c r="H20" s="137" t="inlineStr">
        <is>
          <t>Actual</t>
        </is>
      </c>
      <c r="I20" s="128" t="n">
        <v>2999.66</v>
      </c>
      <c r="J20" s="146" t="n">
        <v>88.8</v>
      </c>
    </row>
    <row r="21">
      <c r="B21" s="144" t="n">
        <v>46238</v>
      </c>
      <c r="C21" s="137" t="inlineStr">
        <is>
          <t>USD/THB</t>
        </is>
      </c>
      <c r="D21" s="179" t="n">
        <v>33.47</v>
      </c>
      <c r="E21" s="138" t="inlineStr">
        <is>
          <t>DIME EX</t>
        </is>
      </c>
      <c r="F21" s="137" t="inlineStr">
        <is>
          <t>—</t>
        </is>
      </c>
      <c r="G21" s="138" t="inlineStr">
        <is>
          <t>Actual conversion Dime Save→FCD</t>
        </is>
      </c>
      <c r="H21" s="137" t="inlineStr">
        <is>
          <t>Actual</t>
        </is>
      </c>
      <c r="I21" s="128" t="n">
        <v>3012.3</v>
      </c>
      <c r="J21" s="146" t="n">
        <v>90</v>
      </c>
    </row>
    <row r="22">
      <c r="B22" s="144" t="n">
        <v>46266</v>
      </c>
      <c r="C22" s="137" t="inlineStr">
        <is>
          <t>USD/THB</t>
        </is>
      </c>
      <c r="D22" s="179" t="n">
        <v>33.35</v>
      </c>
      <c r="E22" s="138" t="inlineStr">
        <is>
          <t>DIME EX</t>
        </is>
      </c>
      <c r="F22" s="137" t="inlineStr">
        <is>
          <t>—</t>
        </is>
      </c>
      <c r="G22" s="138" t="inlineStr">
        <is>
          <t>Actual conversion Dime Save→FCD</t>
        </is>
      </c>
      <c r="H22" s="137" t="inlineStr">
        <is>
          <t>Actual</t>
        </is>
      </c>
      <c r="I22" s="128" t="n">
        <v>3001.5</v>
      </c>
      <c r="J22" s="146" t="n">
        <v>90</v>
      </c>
    </row>
    <row r="25">
      <c r="B25" s="144" t="n">
        <v>46274</v>
      </c>
      <c r="C25" s="137" t="inlineStr">
        <is>
          <t>USD/THB</t>
        </is>
      </c>
      <c r="D25" s="179" t="n">
        <v>32.81</v>
      </c>
      <c r="E25" s="138" t="inlineStr">
        <is>
          <t>DIME sheet (legacy)</t>
        </is>
      </c>
      <c r="F25" s="137" t="inlineStr">
        <is>
          <t>—</t>
        </is>
      </c>
      <c r="G25" s="138" t="inlineStr">
        <is>
          <t>Dime cash valuation</t>
        </is>
      </c>
      <c r="H25" s="181" t="inlineStr">
        <is>
          <t>Reference</t>
        </is>
      </c>
      <c r="I25" s="182" t="inlineStr"/>
      <c r="J25" s="183" t="inlineStr"/>
    </row>
    <row r="26">
      <c r="B26" s="144" t="n">
        <v>46279</v>
      </c>
      <c r="C26" s="137" t="inlineStr">
        <is>
          <t>USD/THB</t>
        </is>
      </c>
      <c r="D26" s="179" t="n">
        <v>33.1</v>
      </c>
      <c r="E26" s="138" t="inlineStr">
        <is>
          <t>USA STOCK sheet (legacy)</t>
        </is>
      </c>
      <c r="F26" s="137" t="inlineStr">
        <is>
          <t>—</t>
        </is>
      </c>
      <c r="G26" s="138" t="inlineStr">
        <is>
          <t>US portfolio valuation</t>
        </is>
      </c>
      <c r="H26" s="181" t="inlineStr">
        <is>
          <t>Reference</t>
        </is>
      </c>
      <c r="I26" s="182" t="inlineStr"/>
      <c r="J26" s="183" t="inlineStr"/>
    </row>
    <row r="27">
      <c r="B27" s="184" t="inlineStr">
        <is>
          <t>ต้นทุนแลกเงินเฉลี่ยถ่วงน้ำหนัก (Weighted Average FX Cost)</t>
        </is>
      </c>
      <c r="F27" s="185">
        <f>SUMIFS(tblFX[THB Amount],tblFX[Type],"Actual")/SUMIFS(tblFX[USD Amount],tblFX[Type],"Actual")</f>
        <v/>
      </c>
    </row>
    <row r="28">
      <c r="B28" s="184" t="inlineStr">
        <is>
          <t>อัตราปัจจุบัน (Current Snapshot FX)</t>
        </is>
      </c>
      <c r="F28" s="186">
        <f>XLOOKUP("CURRENT_FX_USDTHB",tblSettings[Key],tblSettings[Value])</f>
        <v/>
      </c>
    </row>
    <row r="29">
      <c r="B29" s="184" t="inlineStr">
        <is>
          <t>ส่วนต่าง (กำไร/ขาดทุนจากค่าเงินบนเงินที่แลกมา)</t>
        </is>
      </c>
      <c r="F29" s="187">
        <f>F28-F27</f>
        <v/>
      </c>
    </row>
  </sheetData>
  <mergeCells count="3">
    <mergeCell ref="B29:E29"/>
    <mergeCell ref="B28:E28"/>
    <mergeCell ref="B27:E2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DC2626"/>
    <outlinePr summaryBelow="1" summaryRight="1"/>
    <pageSetUpPr/>
  </sheetPr>
  <dimension ref="B2:L8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14" customWidth="1" min="7" max="7"/>
    <col width="18" customWidth="1" min="8" max="8"/>
    <col width="13" customWidth="1" min="9" max="9"/>
    <col width="13" customWidth="1" min="10" max="10"/>
    <col width="13" customWidth="1" min="11" max="11"/>
    <col width="40" customWidth="1" min="12" max="12"/>
  </cols>
  <sheetData>
    <row r="2" ht="26" customHeight="1">
      <c r="B2" s="124" t="inlineStr">
        <is>
          <t>13_DEBT — หนี้สินและการผ่อนชำระ</t>
        </is>
      </c>
    </row>
    <row r="3" ht="14" customHeight="1">
      <c r="B3" s="125" t="inlineStr">
        <is>
          <t>ไฟล์เดิมระบุชัดเจนว่าไม่มีหนี้สิน (บัตรเครดิต 0 / สินเชื่ออื่น 0) — Total Debt = ฿0</t>
        </is>
      </c>
    </row>
    <row r="5" ht="30" customHeight="1">
      <c r="B5" s="126" t="inlineStr">
        <is>
          <t>Debt ID</t>
        </is>
      </c>
      <c r="C5" s="126" t="inlineStr">
        <is>
          <t>Creditor</t>
        </is>
      </c>
      <c r="D5" s="126" t="inlineStr">
        <is>
          <t>Type</t>
        </is>
      </c>
      <c r="E5" s="126" t="inlineStr">
        <is>
          <t>Original Amount</t>
        </is>
      </c>
      <c r="F5" s="126" t="inlineStr">
        <is>
          <t>Outstanding</t>
        </is>
      </c>
      <c r="G5" s="126" t="inlineStr">
        <is>
          <t>Interest Rate</t>
        </is>
      </c>
      <c r="H5" s="126" t="inlineStr">
        <is>
          <t>Monthly Payment</t>
        </is>
      </c>
      <c r="I5" s="126" t="inlineStr">
        <is>
          <t>Start Date</t>
        </is>
      </c>
      <c r="J5" s="126" t="inlineStr">
        <is>
          <t>End Date</t>
        </is>
      </c>
      <c r="K5" s="126" t="inlineStr">
        <is>
          <t>Status</t>
        </is>
      </c>
      <c r="L5" s="126" t="inlineStr">
        <is>
          <t>Note</t>
        </is>
      </c>
    </row>
    <row r="6">
      <c r="B6" s="134" t="inlineStr">
        <is>
          <t>DEBT-001</t>
        </is>
      </c>
      <c r="C6" s="136" t="inlineStr">
        <is>
          <t>บัตรเครดิต</t>
        </is>
      </c>
      <c r="D6" s="137" t="inlineStr">
        <is>
          <t>Credit Card</t>
        </is>
      </c>
      <c r="E6" s="128" t="n">
        <v>0</v>
      </c>
      <c r="F6" s="128" t="n">
        <v>0</v>
      </c>
      <c r="G6" s="176" t="n">
        <v>0</v>
      </c>
      <c r="H6" s="128" t="n">
        <v>0</v>
      </c>
      <c r="I6" s="137" t="inlineStr">
        <is>
          <t>N/A</t>
        </is>
      </c>
      <c r="J6" s="137" t="inlineStr">
        <is>
          <t>N/A</t>
        </is>
      </c>
      <c r="K6" s="150" t="inlineStr">
        <is>
          <t>Closed</t>
        </is>
      </c>
      <c r="L6" s="142" t="inlineStr">
        <is>
          <t>ไฟล์เดิมระบุยอด 0</t>
        </is>
      </c>
    </row>
    <row r="7">
      <c r="B7" s="134" t="inlineStr">
        <is>
          <t>DEBT-002</t>
        </is>
      </c>
      <c r="C7" s="136" t="inlineStr">
        <is>
          <t>สินเชื่อ/ผ่อนชำระอื่นๆ</t>
        </is>
      </c>
      <c r="D7" s="137" t="inlineStr">
        <is>
          <t>Loan</t>
        </is>
      </c>
      <c r="E7" s="128" t="n">
        <v>0</v>
      </c>
      <c r="F7" s="128" t="n">
        <v>0</v>
      </c>
      <c r="G7" s="176" t="n">
        <v>0</v>
      </c>
      <c r="H7" s="128" t="n">
        <v>0</v>
      </c>
      <c r="I7" s="137" t="inlineStr">
        <is>
          <t>N/A</t>
        </is>
      </c>
      <c r="J7" s="137" t="inlineStr">
        <is>
          <t>N/A</t>
        </is>
      </c>
      <c r="K7" s="150" t="inlineStr">
        <is>
          <t>Closed</t>
        </is>
      </c>
      <c r="L7" s="142" t="inlineStr">
        <is>
          <t>ไฟล์เดิมระบุยอด 0</t>
        </is>
      </c>
    </row>
    <row r="8">
      <c r="B8" s="168" t="inlineStr">
        <is>
          <t>TOTAL DEBT</t>
        </is>
      </c>
      <c r="C8" s="169" t="inlineStr"/>
      <c r="D8" s="169" t="inlineStr"/>
      <c r="E8" s="169" t="inlineStr"/>
      <c r="F8" s="188">
        <f>SUM(F6:F7)</f>
        <v/>
      </c>
      <c r="G8" s="169" t="inlineStr"/>
      <c r="H8" s="169" t="inlineStr"/>
      <c r="I8" s="169" t="inlineStr"/>
      <c r="J8" s="169" t="inlineStr"/>
      <c r="K8" s="169" t="inlineStr"/>
      <c r="L8" s="1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0B3B8C"/>
    <outlinePr summaryBelow="1" summaryRight="1"/>
    <pageSetUpPr/>
  </sheetPr>
  <dimension ref="B2:Q20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2" customWidth="1" min="3" max="3"/>
    <col width="15" customWidth="1" min="4" max="4"/>
    <col width="15" customWidth="1" min="5" max="5"/>
    <col width="13" customWidth="1" min="6" max="6"/>
    <col width="12" customWidth="1" min="7" max="7"/>
    <col width="15" customWidth="1" min="8" max="8"/>
    <col width="13" customWidth="1" min="9" max="9"/>
    <col width="16" customWidth="1" min="10" max="10"/>
    <col width="11" customWidth="1" min="11" max="11"/>
    <col width="20" customWidth="1" min="12" max="12"/>
    <col width="20" customWidth="1" min="13" max="13"/>
    <col width="13" customWidth="1" min="14" max="14"/>
    <col width="22" customWidth="1" min="15" max="15"/>
    <col width="20" customWidth="1" min="16" max="16"/>
    <col width="52" customWidth="1" min="17" max="17"/>
  </cols>
  <sheetData>
    <row r="2" ht="26" customHeight="1">
      <c r="B2" s="124" t="inlineStr">
        <is>
          <t>14_NET_WORTH — สแนปช็อตสินทรัพย์สุทธิรายเดือน</t>
        </is>
      </c>
    </row>
    <row r="3" ht="14" customHeight="1">
      <c r="B3" s="125" t="inlineStr">
        <is>
          <t>Net Worth = Total Assets − Total Debt | เก็บทั้ง Calculated และ Reported พร้อม Difference (กฎข้อ 40) | PVD และ Contributed Capital เป็นข้อมูลจริงครบทุกเดือน — มูลค่าตลาดย้อนหลังยังไม่มีในไฟล์ต้นทาง</t>
        </is>
      </c>
    </row>
    <row r="5" ht="30" customHeight="1">
      <c r="B5" s="126" t="inlineStr">
        <is>
          <t>Date</t>
        </is>
      </c>
      <c r="C5" s="126" t="inlineStr">
        <is>
          <t>Snapshot Type</t>
        </is>
      </c>
      <c r="D5" s="126" t="inlineStr">
        <is>
          <t>Cash</t>
        </is>
      </c>
      <c r="E5" s="126" t="inlineStr">
        <is>
          <t>US Stocks</t>
        </is>
      </c>
      <c r="F5" s="126" t="inlineStr">
        <is>
          <t>SET</t>
        </is>
      </c>
      <c r="G5" s="126" t="inlineStr">
        <is>
          <t>Gold</t>
        </is>
      </c>
      <c r="H5" s="126" t="inlineStr">
        <is>
          <t>PVD</t>
        </is>
      </c>
      <c r="I5" s="126" t="inlineStr">
        <is>
          <t>Other Assets</t>
        </is>
      </c>
      <c r="J5" s="126" t="inlineStr">
        <is>
          <t>Total Assets</t>
        </is>
      </c>
      <c r="K5" s="126" t="inlineStr">
        <is>
          <t>Debt</t>
        </is>
      </c>
      <c r="L5" s="126" t="inlineStr">
        <is>
          <t>Net Worth (Calculated)</t>
        </is>
      </c>
      <c r="M5" s="126" t="inlineStr">
        <is>
          <t>Net Worth (Reported)</t>
        </is>
      </c>
      <c r="N5" s="126" t="inlineStr">
        <is>
          <t>Difference</t>
        </is>
      </c>
      <c r="O5" s="126" t="inlineStr">
        <is>
          <t>Cumulative Invested (Cost)</t>
        </is>
      </c>
      <c r="P5" s="126" t="inlineStr">
        <is>
          <t>Contributed Capital</t>
        </is>
      </c>
      <c r="Q5" s="126" t="inlineStr">
        <is>
          <t>Note</t>
        </is>
      </c>
    </row>
    <row r="6">
      <c r="B6" s="127" t="n">
        <v>45839</v>
      </c>
      <c r="C6" s="154" t="inlineStr">
        <is>
          <t>Partial (PVD + cost only)</t>
        </is>
      </c>
      <c r="D6" s="141" t="inlineStr">
        <is>
          <t>N/A</t>
        </is>
      </c>
      <c r="E6" s="141" t="inlineStr">
        <is>
          <t>N/A</t>
        </is>
      </c>
      <c r="F6" s="141" t="inlineStr">
        <is>
          <t>N/A</t>
        </is>
      </c>
      <c r="G6" s="141" t="inlineStr">
        <is>
          <t>N/A</t>
        </is>
      </c>
      <c r="H6" s="128">
        <f>IFERROR(XLOOKUP(DATE(2025,7,1),tblPVD[Month],tblPVD[Ending Balance (Reported)]),"N/A")</f>
        <v/>
      </c>
      <c r="I6" s="128" t="n">
        <v>0</v>
      </c>
      <c r="J6" s="130">
        <f>IFERROR(SUM(D6:I6),"N/A")</f>
        <v/>
      </c>
      <c r="K6" s="128">
        <f>IFERROR(SUMIFS(tblDebt[Outstanding],tblDebt[Status],"&lt;&gt;Closed"),0)</f>
        <v/>
      </c>
      <c r="L6" s="189">
        <f>IFERROR(J6-K6,"N/A")</f>
        <v/>
      </c>
      <c r="M6" s="141" t="inlineStr">
        <is>
          <t>N/A</t>
        </is>
      </c>
      <c r="N6" s="128">
        <f>IFERROR(L6-M6,"N/A")</f>
        <v/>
      </c>
      <c r="O6" s="128">
        <f>IFERROR(SUMIFS(tblInvTx[THB Value],tblInvTx[Transaction Type],"Buy",tblInvTx[Date],"&lt;="&amp;EOMONTH(DATE(2025,7,1),0))-SUMIFS(tblInvTx[THB Value],tblInvTx[Transaction Type],"Sell",tblInvTx[Date],"&lt;="&amp;EOMONTH(DATE(2025,7,1),0)),0)</f>
        <v/>
      </c>
      <c r="P6" s="131">
        <f>IFERROR(O6+IFERROR(XLOOKUP(DATE(2025,7,1),tblPVD[Month],tblPVD[Ending Balance (Reported)]),0),0)</f>
        <v/>
      </c>
      <c r="Q6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7">
      <c r="B7" s="127" t="n">
        <v>45870</v>
      </c>
      <c r="C7" s="154" t="inlineStr">
        <is>
          <t>Partial (PVD + cost only)</t>
        </is>
      </c>
      <c r="D7" s="141" t="inlineStr">
        <is>
          <t>N/A</t>
        </is>
      </c>
      <c r="E7" s="141" t="inlineStr">
        <is>
          <t>N/A</t>
        </is>
      </c>
      <c r="F7" s="141" t="inlineStr">
        <is>
          <t>N/A</t>
        </is>
      </c>
      <c r="G7" s="141" t="inlineStr">
        <is>
          <t>N/A</t>
        </is>
      </c>
      <c r="H7" s="128">
        <f>IFERROR(XLOOKUP(DATE(2025,8,1),tblPVD[Month],tblPVD[Ending Balance (Reported)]),"N/A")</f>
        <v/>
      </c>
      <c r="I7" s="128" t="n">
        <v>0</v>
      </c>
      <c r="J7" s="130">
        <f>IFERROR(SUM(D7:I7),"N/A")</f>
        <v/>
      </c>
      <c r="K7" s="128">
        <f>IFERROR(SUMIFS(tblDebt[Outstanding],tblDebt[Status],"&lt;&gt;Closed"),0)</f>
        <v/>
      </c>
      <c r="L7" s="189">
        <f>IFERROR(J7-K7,"N/A")</f>
        <v/>
      </c>
      <c r="M7" s="141" t="inlineStr">
        <is>
          <t>N/A</t>
        </is>
      </c>
      <c r="N7" s="128">
        <f>IFERROR(L7-M7,"N/A")</f>
        <v/>
      </c>
      <c r="O7" s="128">
        <f>IFERROR(SUMIFS(tblInvTx[THB Value],tblInvTx[Transaction Type],"Buy",tblInvTx[Date],"&lt;="&amp;EOMONTH(DATE(2025,8,1),0))-SUMIFS(tblInvTx[THB Value],tblInvTx[Transaction Type],"Sell",tblInvTx[Date],"&lt;="&amp;EOMONTH(DATE(2025,8,1),0)),0)</f>
        <v/>
      </c>
      <c r="P7" s="131">
        <f>IFERROR(O7+IFERROR(XLOOKUP(DATE(2025,8,1),tblPVD[Month],tblPVD[Ending Balance (Reported)]),0),0)</f>
        <v/>
      </c>
      <c r="Q7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8">
      <c r="B8" s="127" t="n">
        <v>45901</v>
      </c>
      <c r="C8" s="154" t="inlineStr">
        <is>
          <t>Partial (PVD + cost only)</t>
        </is>
      </c>
      <c r="D8" s="141" t="inlineStr">
        <is>
          <t>N/A</t>
        </is>
      </c>
      <c r="E8" s="141" t="inlineStr">
        <is>
          <t>N/A</t>
        </is>
      </c>
      <c r="F8" s="141" t="inlineStr">
        <is>
          <t>N/A</t>
        </is>
      </c>
      <c r="G8" s="141" t="inlineStr">
        <is>
          <t>N/A</t>
        </is>
      </c>
      <c r="H8" s="128">
        <f>IFERROR(XLOOKUP(DATE(2025,9,1),tblPVD[Month],tblPVD[Ending Balance (Reported)]),"N/A")</f>
        <v/>
      </c>
      <c r="I8" s="128" t="n">
        <v>0</v>
      </c>
      <c r="J8" s="130">
        <f>IFERROR(SUM(D8:I8),"N/A")</f>
        <v/>
      </c>
      <c r="K8" s="128">
        <f>IFERROR(SUMIFS(tblDebt[Outstanding],tblDebt[Status],"&lt;&gt;Closed"),0)</f>
        <v/>
      </c>
      <c r="L8" s="189">
        <f>IFERROR(J8-K8,"N/A")</f>
        <v/>
      </c>
      <c r="M8" s="141" t="inlineStr">
        <is>
          <t>N/A</t>
        </is>
      </c>
      <c r="N8" s="128">
        <f>IFERROR(L8-M8,"N/A")</f>
        <v/>
      </c>
      <c r="O8" s="128">
        <f>IFERROR(SUMIFS(tblInvTx[THB Value],tblInvTx[Transaction Type],"Buy",tblInvTx[Date],"&lt;="&amp;EOMONTH(DATE(2025,9,1),0))-SUMIFS(tblInvTx[THB Value],tblInvTx[Transaction Type],"Sell",tblInvTx[Date],"&lt;="&amp;EOMONTH(DATE(2025,9,1),0)),0)</f>
        <v/>
      </c>
      <c r="P8" s="131">
        <f>IFERROR(O8+IFERROR(XLOOKUP(DATE(2025,9,1),tblPVD[Month],tblPVD[Ending Balance (Reported)]),0),0)</f>
        <v/>
      </c>
      <c r="Q8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9">
      <c r="B9" s="127" t="n">
        <v>45931</v>
      </c>
      <c r="C9" s="154" t="inlineStr">
        <is>
          <t>Partial (PVD + cost only)</t>
        </is>
      </c>
      <c r="D9" s="141" t="inlineStr">
        <is>
          <t>N/A</t>
        </is>
      </c>
      <c r="E9" s="141" t="inlineStr">
        <is>
          <t>N/A</t>
        </is>
      </c>
      <c r="F9" s="141" t="inlineStr">
        <is>
          <t>N/A</t>
        </is>
      </c>
      <c r="G9" s="141" t="inlineStr">
        <is>
          <t>N/A</t>
        </is>
      </c>
      <c r="H9" s="128">
        <f>IFERROR(XLOOKUP(DATE(2025,10,1),tblPVD[Month],tblPVD[Ending Balance (Reported)]),"N/A")</f>
        <v/>
      </c>
      <c r="I9" s="128" t="n">
        <v>0</v>
      </c>
      <c r="J9" s="130">
        <f>IFERROR(SUM(D9:I9),"N/A")</f>
        <v/>
      </c>
      <c r="K9" s="128">
        <f>IFERROR(SUMIFS(tblDebt[Outstanding],tblDebt[Status],"&lt;&gt;Closed"),0)</f>
        <v/>
      </c>
      <c r="L9" s="189">
        <f>IFERROR(J9-K9,"N/A")</f>
        <v/>
      </c>
      <c r="M9" s="141" t="inlineStr">
        <is>
          <t>N/A</t>
        </is>
      </c>
      <c r="N9" s="128">
        <f>IFERROR(L9-M9,"N/A")</f>
        <v/>
      </c>
      <c r="O9" s="128">
        <f>IFERROR(SUMIFS(tblInvTx[THB Value],tblInvTx[Transaction Type],"Buy",tblInvTx[Date],"&lt;="&amp;EOMONTH(DATE(2025,10,1),0))-SUMIFS(tblInvTx[THB Value],tblInvTx[Transaction Type],"Sell",tblInvTx[Date],"&lt;="&amp;EOMONTH(DATE(2025,10,1),0)),0)</f>
        <v/>
      </c>
      <c r="P9" s="131">
        <f>IFERROR(O9+IFERROR(XLOOKUP(DATE(2025,10,1),tblPVD[Month],tblPVD[Ending Balance (Reported)]),0),0)</f>
        <v/>
      </c>
      <c r="Q9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10">
      <c r="B10" s="127" t="n">
        <v>45962</v>
      </c>
      <c r="C10" s="154" t="inlineStr">
        <is>
          <t>Partial (PVD + cost only)</t>
        </is>
      </c>
      <c r="D10" s="141" t="inlineStr">
        <is>
          <t>N/A</t>
        </is>
      </c>
      <c r="E10" s="141" t="inlineStr">
        <is>
          <t>N/A</t>
        </is>
      </c>
      <c r="F10" s="141" t="inlineStr">
        <is>
          <t>N/A</t>
        </is>
      </c>
      <c r="G10" s="141" t="inlineStr">
        <is>
          <t>N/A</t>
        </is>
      </c>
      <c r="H10" s="128">
        <f>IFERROR(XLOOKUP(DATE(2025,11,1),tblPVD[Month],tblPVD[Ending Balance (Reported)]),"N/A")</f>
        <v/>
      </c>
      <c r="I10" s="128" t="n">
        <v>0</v>
      </c>
      <c r="J10" s="130">
        <f>IFERROR(SUM(D10:I10),"N/A")</f>
        <v/>
      </c>
      <c r="K10" s="128">
        <f>IFERROR(SUMIFS(tblDebt[Outstanding],tblDebt[Status],"&lt;&gt;Closed"),0)</f>
        <v/>
      </c>
      <c r="L10" s="189">
        <f>IFERROR(J10-K10,"N/A")</f>
        <v/>
      </c>
      <c r="M10" s="141" t="inlineStr">
        <is>
          <t>N/A</t>
        </is>
      </c>
      <c r="N10" s="128">
        <f>IFERROR(L10-M10,"N/A")</f>
        <v/>
      </c>
      <c r="O10" s="128">
        <f>IFERROR(SUMIFS(tblInvTx[THB Value],tblInvTx[Transaction Type],"Buy",tblInvTx[Date],"&lt;="&amp;EOMONTH(DATE(2025,11,1),0))-SUMIFS(tblInvTx[THB Value],tblInvTx[Transaction Type],"Sell",tblInvTx[Date],"&lt;="&amp;EOMONTH(DATE(2025,11,1),0)),0)</f>
        <v/>
      </c>
      <c r="P10" s="131">
        <f>IFERROR(O10+IFERROR(XLOOKUP(DATE(2025,11,1),tblPVD[Month],tblPVD[Ending Balance (Reported)]),0),0)</f>
        <v/>
      </c>
      <c r="Q10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11">
      <c r="B11" s="127" t="n">
        <v>45992</v>
      </c>
      <c r="C11" s="154" t="inlineStr">
        <is>
          <t>Partial (PVD + cost only)</t>
        </is>
      </c>
      <c r="D11" s="141" t="inlineStr">
        <is>
          <t>N/A</t>
        </is>
      </c>
      <c r="E11" s="141" t="inlineStr">
        <is>
          <t>N/A</t>
        </is>
      </c>
      <c r="F11" s="141" t="inlineStr">
        <is>
          <t>N/A</t>
        </is>
      </c>
      <c r="G11" s="141" t="inlineStr">
        <is>
          <t>N/A</t>
        </is>
      </c>
      <c r="H11" s="128">
        <f>IFERROR(XLOOKUP(DATE(2025,12,1),tblPVD[Month],tblPVD[Ending Balance (Reported)]),"N/A")</f>
        <v/>
      </c>
      <c r="I11" s="128" t="n">
        <v>0</v>
      </c>
      <c r="J11" s="130">
        <f>IFERROR(SUM(D11:I11),"N/A")</f>
        <v/>
      </c>
      <c r="K11" s="128">
        <f>IFERROR(SUMIFS(tblDebt[Outstanding],tblDebt[Status],"&lt;&gt;Closed"),0)</f>
        <v/>
      </c>
      <c r="L11" s="189">
        <f>IFERROR(J11-K11,"N/A")</f>
        <v/>
      </c>
      <c r="M11" s="141" t="inlineStr">
        <is>
          <t>N/A</t>
        </is>
      </c>
      <c r="N11" s="128">
        <f>IFERROR(L11-M11,"N/A")</f>
        <v/>
      </c>
      <c r="O11" s="128">
        <f>IFERROR(SUMIFS(tblInvTx[THB Value],tblInvTx[Transaction Type],"Buy",tblInvTx[Date],"&lt;="&amp;EOMONTH(DATE(2025,12,1),0))-SUMIFS(tblInvTx[THB Value],tblInvTx[Transaction Type],"Sell",tblInvTx[Date],"&lt;="&amp;EOMONTH(DATE(2025,12,1),0)),0)</f>
        <v/>
      </c>
      <c r="P11" s="131">
        <f>IFERROR(O11+IFERROR(XLOOKUP(DATE(2025,12,1),tblPVD[Month],tblPVD[Ending Balance (Reported)]),0),0)</f>
        <v/>
      </c>
      <c r="Q11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12">
      <c r="B12" s="127" t="n">
        <v>46023</v>
      </c>
      <c r="C12" s="154" t="inlineStr">
        <is>
          <t>Partial (PVD + cost only)</t>
        </is>
      </c>
      <c r="D12" s="141" t="inlineStr">
        <is>
          <t>N/A</t>
        </is>
      </c>
      <c r="E12" s="141" t="inlineStr">
        <is>
          <t>N/A</t>
        </is>
      </c>
      <c r="F12" s="141" t="inlineStr">
        <is>
          <t>N/A</t>
        </is>
      </c>
      <c r="G12" s="141" t="inlineStr">
        <is>
          <t>N/A</t>
        </is>
      </c>
      <c r="H12" s="128">
        <f>IFERROR(XLOOKUP(DATE(2026,1,1),tblPVD[Month],tblPVD[Ending Balance (Reported)]),"N/A")</f>
        <v/>
      </c>
      <c r="I12" s="128" t="n">
        <v>0</v>
      </c>
      <c r="J12" s="130">
        <f>IFERROR(SUM(D12:I12),"N/A")</f>
        <v/>
      </c>
      <c r="K12" s="128">
        <f>IFERROR(SUMIFS(tblDebt[Outstanding],tblDebt[Status],"&lt;&gt;Closed"),0)</f>
        <v/>
      </c>
      <c r="L12" s="189">
        <f>IFERROR(J12-K12,"N/A")</f>
        <v/>
      </c>
      <c r="M12" s="141" t="inlineStr">
        <is>
          <t>N/A</t>
        </is>
      </c>
      <c r="N12" s="128">
        <f>IFERROR(L12-M12,"N/A")</f>
        <v/>
      </c>
      <c r="O12" s="128">
        <f>IFERROR(SUMIFS(tblInvTx[THB Value],tblInvTx[Transaction Type],"Buy",tblInvTx[Date],"&lt;="&amp;EOMONTH(DATE(2026,1,1),0))-SUMIFS(tblInvTx[THB Value],tblInvTx[Transaction Type],"Sell",tblInvTx[Date],"&lt;="&amp;EOMONTH(DATE(2026,1,1),0)),0)</f>
        <v/>
      </c>
      <c r="P12" s="131">
        <f>IFERROR(O12+IFERROR(XLOOKUP(DATE(2026,1,1),tblPVD[Month],tblPVD[Ending Balance (Reported)]),0),0)</f>
        <v/>
      </c>
      <c r="Q12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13">
      <c r="B13" s="127" t="n">
        <v>46054</v>
      </c>
      <c r="C13" s="154" t="inlineStr">
        <is>
          <t>Partial (PVD + cost only)</t>
        </is>
      </c>
      <c r="D13" s="141" t="inlineStr">
        <is>
          <t>N/A</t>
        </is>
      </c>
      <c r="E13" s="141" t="inlineStr">
        <is>
          <t>N/A</t>
        </is>
      </c>
      <c r="F13" s="141" t="inlineStr">
        <is>
          <t>N/A</t>
        </is>
      </c>
      <c r="G13" s="141" t="inlineStr">
        <is>
          <t>N/A</t>
        </is>
      </c>
      <c r="H13" s="128">
        <f>IFERROR(XLOOKUP(DATE(2026,2,1),tblPVD[Month],tblPVD[Ending Balance (Reported)]),"N/A")</f>
        <v/>
      </c>
      <c r="I13" s="128" t="n">
        <v>0</v>
      </c>
      <c r="J13" s="130">
        <f>IFERROR(SUM(D13:I13),"N/A")</f>
        <v/>
      </c>
      <c r="K13" s="128">
        <f>IFERROR(SUMIFS(tblDebt[Outstanding],tblDebt[Status],"&lt;&gt;Closed"),0)</f>
        <v/>
      </c>
      <c r="L13" s="189">
        <f>IFERROR(J13-K13,"N/A")</f>
        <v/>
      </c>
      <c r="M13" s="141" t="inlineStr">
        <is>
          <t>N/A</t>
        </is>
      </c>
      <c r="N13" s="128">
        <f>IFERROR(L13-M13,"N/A")</f>
        <v/>
      </c>
      <c r="O13" s="128">
        <f>IFERROR(SUMIFS(tblInvTx[THB Value],tblInvTx[Transaction Type],"Buy",tblInvTx[Date],"&lt;="&amp;EOMONTH(DATE(2026,2,1),0))-SUMIFS(tblInvTx[THB Value],tblInvTx[Transaction Type],"Sell",tblInvTx[Date],"&lt;="&amp;EOMONTH(DATE(2026,2,1),0)),0)</f>
        <v/>
      </c>
      <c r="P13" s="131">
        <f>IFERROR(O13+IFERROR(XLOOKUP(DATE(2026,2,1),tblPVD[Month],tblPVD[Ending Balance (Reported)]),0),0)</f>
        <v/>
      </c>
      <c r="Q13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14">
      <c r="B14" s="127" t="n">
        <v>46082</v>
      </c>
      <c r="C14" s="154" t="inlineStr">
        <is>
          <t>Partial (PVD + cost only)</t>
        </is>
      </c>
      <c r="D14" s="141" t="inlineStr">
        <is>
          <t>N/A</t>
        </is>
      </c>
      <c r="E14" s="141" t="inlineStr">
        <is>
          <t>N/A</t>
        </is>
      </c>
      <c r="F14" s="141" t="inlineStr">
        <is>
          <t>N/A</t>
        </is>
      </c>
      <c r="G14" s="141" t="inlineStr">
        <is>
          <t>N/A</t>
        </is>
      </c>
      <c r="H14" s="128">
        <f>IFERROR(XLOOKUP(DATE(2026,3,1),tblPVD[Month],tblPVD[Ending Balance (Reported)]),"N/A")</f>
        <v/>
      </c>
      <c r="I14" s="128" t="n">
        <v>0</v>
      </c>
      <c r="J14" s="130">
        <f>IFERROR(SUM(D14:I14),"N/A")</f>
        <v/>
      </c>
      <c r="K14" s="128">
        <f>IFERROR(SUMIFS(tblDebt[Outstanding],tblDebt[Status],"&lt;&gt;Closed"),0)</f>
        <v/>
      </c>
      <c r="L14" s="189">
        <f>IFERROR(J14-K14,"N/A")</f>
        <v/>
      </c>
      <c r="M14" s="141" t="inlineStr">
        <is>
          <t>N/A</t>
        </is>
      </c>
      <c r="N14" s="128">
        <f>IFERROR(L14-M14,"N/A")</f>
        <v/>
      </c>
      <c r="O14" s="128">
        <f>IFERROR(SUMIFS(tblInvTx[THB Value],tblInvTx[Transaction Type],"Buy",tblInvTx[Date],"&lt;="&amp;EOMONTH(DATE(2026,3,1),0))-SUMIFS(tblInvTx[THB Value],tblInvTx[Transaction Type],"Sell",tblInvTx[Date],"&lt;="&amp;EOMONTH(DATE(2026,3,1),0)),0)</f>
        <v/>
      </c>
      <c r="P14" s="131">
        <f>IFERROR(O14+IFERROR(XLOOKUP(DATE(2026,3,1),tblPVD[Month],tblPVD[Ending Balance (Reported)]),0),0)</f>
        <v/>
      </c>
      <c r="Q14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15">
      <c r="B15" s="127" t="n">
        <v>46113</v>
      </c>
      <c r="C15" s="154" t="inlineStr">
        <is>
          <t>Partial (PVD + cost only)</t>
        </is>
      </c>
      <c r="D15" s="141" t="inlineStr">
        <is>
          <t>N/A</t>
        </is>
      </c>
      <c r="E15" s="141" t="inlineStr">
        <is>
          <t>N/A</t>
        </is>
      </c>
      <c r="F15" s="141" t="inlineStr">
        <is>
          <t>N/A</t>
        </is>
      </c>
      <c r="G15" s="141" t="inlineStr">
        <is>
          <t>N/A</t>
        </is>
      </c>
      <c r="H15" s="128">
        <f>IFERROR(XLOOKUP(DATE(2026,4,1),tblPVD[Month],tblPVD[Ending Balance (Reported)]),"N/A")</f>
        <v/>
      </c>
      <c r="I15" s="128" t="n">
        <v>0</v>
      </c>
      <c r="J15" s="130">
        <f>IFERROR(SUM(D15:I15),"N/A")</f>
        <v/>
      </c>
      <c r="K15" s="128">
        <f>IFERROR(SUMIFS(tblDebt[Outstanding],tblDebt[Status],"&lt;&gt;Closed"),0)</f>
        <v/>
      </c>
      <c r="L15" s="189">
        <f>IFERROR(J15-K15,"N/A")</f>
        <v/>
      </c>
      <c r="M15" s="141" t="inlineStr">
        <is>
          <t>N/A</t>
        </is>
      </c>
      <c r="N15" s="128">
        <f>IFERROR(L15-M15,"N/A")</f>
        <v/>
      </c>
      <c r="O15" s="128">
        <f>IFERROR(SUMIFS(tblInvTx[THB Value],tblInvTx[Transaction Type],"Buy",tblInvTx[Date],"&lt;="&amp;EOMONTH(DATE(2026,4,1),0))-SUMIFS(tblInvTx[THB Value],tblInvTx[Transaction Type],"Sell",tblInvTx[Date],"&lt;="&amp;EOMONTH(DATE(2026,4,1),0)),0)</f>
        <v/>
      </c>
      <c r="P15" s="131">
        <f>IFERROR(O15+IFERROR(XLOOKUP(DATE(2026,4,1),tblPVD[Month],tblPVD[Ending Balance (Reported)]),0),0)</f>
        <v/>
      </c>
      <c r="Q15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16">
      <c r="B16" s="127" t="n">
        <v>46143</v>
      </c>
      <c r="C16" s="154" t="inlineStr">
        <is>
          <t>Partial (PVD + cost only)</t>
        </is>
      </c>
      <c r="D16" s="141" t="inlineStr">
        <is>
          <t>N/A</t>
        </is>
      </c>
      <c r="E16" s="141" t="inlineStr">
        <is>
          <t>N/A</t>
        </is>
      </c>
      <c r="F16" s="141" t="inlineStr">
        <is>
          <t>N/A</t>
        </is>
      </c>
      <c r="G16" s="141" t="inlineStr">
        <is>
          <t>N/A</t>
        </is>
      </c>
      <c r="H16" s="128">
        <f>IFERROR(XLOOKUP(DATE(2026,5,1),tblPVD[Month],tblPVD[Ending Balance (Reported)]),"N/A")</f>
        <v/>
      </c>
      <c r="I16" s="128" t="n">
        <v>0</v>
      </c>
      <c r="J16" s="130">
        <f>IFERROR(SUM(D16:I16),"N/A")</f>
        <v/>
      </c>
      <c r="K16" s="128">
        <f>IFERROR(SUMIFS(tblDebt[Outstanding],tblDebt[Status],"&lt;&gt;Closed"),0)</f>
        <v/>
      </c>
      <c r="L16" s="189">
        <f>IFERROR(J16-K16,"N/A")</f>
        <v/>
      </c>
      <c r="M16" s="141" t="inlineStr">
        <is>
          <t>N/A</t>
        </is>
      </c>
      <c r="N16" s="128">
        <f>IFERROR(L16-M16,"N/A")</f>
        <v/>
      </c>
      <c r="O16" s="128">
        <f>IFERROR(SUMIFS(tblInvTx[THB Value],tblInvTx[Transaction Type],"Buy",tblInvTx[Date],"&lt;="&amp;EOMONTH(DATE(2026,5,1),0))-SUMIFS(tblInvTx[THB Value],tblInvTx[Transaction Type],"Sell",tblInvTx[Date],"&lt;="&amp;EOMONTH(DATE(2026,5,1),0)),0)</f>
        <v/>
      </c>
      <c r="P16" s="131">
        <f>IFERROR(O16+IFERROR(XLOOKUP(DATE(2026,5,1),tblPVD[Month],tblPVD[Ending Balance (Reported)]),0),0)</f>
        <v/>
      </c>
      <c r="Q16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17">
      <c r="B17" s="127" t="n">
        <v>46174</v>
      </c>
      <c r="C17" s="154" t="inlineStr">
        <is>
          <t>Partial (PVD + cost only)</t>
        </is>
      </c>
      <c r="D17" s="141" t="inlineStr">
        <is>
          <t>N/A</t>
        </is>
      </c>
      <c r="E17" s="141" t="inlineStr">
        <is>
          <t>N/A</t>
        </is>
      </c>
      <c r="F17" s="141" t="inlineStr">
        <is>
          <t>N/A</t>
        </is>
      </c>
      <c r="G17" s="141" t="inlineStr">
        <is>
          <t>N/A</t>
        </is>
      </c>
      <c r="H17" s="128">
        <f>IFERROR(XLOOKUP(DATE(2026,6,1),tblPVD[Month],tblPVD[Ending Balance (Reported)]),"N/A")</f>
        <v/>
      </c>
      <c r="I17" s="128" t="n">
        <v>0</v>
      </c>
      <c r="J17" s="130">
        <f>IFERROR(SUM(D17:I17),"N/A")</f>
        <v/>
      </c>
      <c r="K17" s="128">
        <f>IFERROR(SUMIFS(tblDebt[Outstanding],tblDebt[Status],"&lt;&gt;Closed"),0)</f>
        <v/>
      </c>
      <c r="L17" s="189">
        <f>IFERROR(J17-K17,"N/A")</f>
        <v/>
      </c>
      <c r="M17" s="141" t="inlineStr">
        <is>
          <t>N/A</t>
        </is>
      </c>
      <c r="N17" s="128">
        <f>IFERROR(L17-M17,"N/A")</f>
        <v/>
      </c>
      <c r="O17" s="128">
        <f>IFERROR(SUMIFS(tblInvTx[THB Value],tblInvTx[Transaction Type],"Buy",tblInvTx[Date],"&lt;="&amp;EOMONTH(DATE(2026,6,1),0))-SUMIFS(tblInvTx[THB Value],tblInvTx[Transaction Type],"Sell",tblInvTx[Date],"&lt;="&amp;EOMONTH(DATE(2026,6,1),0)),0)</f>
        <v/>
      </c>
      <c r="P17" s="131">
        <f>IFERROR(O17+IFERROR(XLOOKUP(DATE(2026,6,1),tblPVD[Month],tblPVD[Ending Balance (Reported)]),0),0)</f>
        <v/>
      </c>
      <c r="Q17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18">
      <c r="B18" s="127" t="n">
        <v>46204</v>
      </c>
      <c r="C18" s="154" t="inlineStr">
        <is>
          <t>Partial (PVD + cost only)</t>
        </is>
      </c>
      <c r="D18" s="141" t="inlineStr">
        <is>
          <t>N/A</t>
        </is>
      </c>
      <c r="E18" s="141" t="inlineStr">
        <is>
          <t>N/A</t>
        </is>
      </c>
      <c r="F18" s="141" t="inlineStr">
        <is>
          <t>N/A</t>
        </is>
      </c>
      <c r="G18" s="141" t="inlineStr">
        <is>
          <t>N/A</t>
        </is>
      </c>
      <c r="H18" s="128">
        <f>IFERROR(XLOOKUP(DATE(2026,7,1),tblPVD[Month],tblPVD[Ending Balance (Reported)]),"N/A")</f>
        <v/>
      </c>
      <c r="I18" s="128" t="n">
        <v>0</v>
      </c>
      <c r="J18" s="130">
        <f>IFERROR(SUM(D18:I18),"N/A")</f>
        <v/>
      </c>
      <c r="K18" s="128">
        <f>IFERROR(SUMIFS(tblDebt[Outstanding],tblDebt[Status],"&lt;&gt;Closed"),0)</f>
        <v/>
      </c>
      <c r="L18" s="189">
        <f>IFERROR(J18-K18,"N/A")</f>
        <v/>
      </c>
      <c r="M18" s="141" t="inlineStr">
        <is>
          <t>N/A</t>
        </is>
      </c>
      <c r="N18" s="128">
        <f>IFERROR(L18-M18,"N/A")</f>
        <v/>
      </c>
      <c r="O18" s="128">
        <f>IFERROR(SUMIFS(tblInvTx[THB Value],tblInvTx[Transaction Type],"Buy",tblInvTx[Date],"&lt;="&amp;EOMONTH(DATE(2026,7,1),0))-SUMIFS(tblInvTx[THB Value],tblInvTx[Transaction Type],"Sell",tblInvTx[Date],"&lt;="&amp;EOMONTH(DATE(2026,7,1),0)),0)</f>
        <v/>
      </c>
      <c r="P18" s="131">
        <f>IFERROR(O18+IFERROR(XLOOKUP(DATE(2026,7,1),tblPVD[Month],tblPVD[Ending Balance (Reported)]),0),0)</f>
        <v/>
      </c>
      <c r="Q18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19">
      <c r="B19" s="127" t="n">
        <v>46235</v>
      </c>
      <c r="C19" s="154" t="inlineStr">
        <is>
          <t>Partial (PVD + cost only)</t>
        </is>
      </c>
      <c r="D19" s="141" t="inlineStr">
        <is>
          <t>N/A</t>
        </is>
      </c>
      <c r="E19" s="141" t="inlineStr">
        <is>
          <t>N/A</t>
        </is>
      </c>
      <c r="F19" s="141" t="inlineStr">
        <is>
          <t>N/A</t>
        </is>
      </c>
      <c r="G19" s="141" t="inlineStr">
        <is>
          <t>N/A</t>
        </is>
      </c>
      <c r="H19" s="128">
        <f>IFERROR(XLOOKUP(DATE(2026,8,1),tblPVD[Month],tblPVD[Ending Balance (Reported)]),"N/A")</f>
        <v/>
      </c>
      <c r="I19" s="128" t="n">
        <v>0</v>
      </c>
      <c r="J19" s="130">
        <f>IFERROR(SUM(D19:I19),"N/A")</f>
        <v/>
      </c>
      <c r="K19" s="128">
        <f>IFERROR(SUMIFS(tblDebt[Outstanding],tblDebt[Status],"&lt;&gt;Closed"),0)</f>
        <v/>
      </c>
      <c r="L19" s="189">
        <f>IFERROR(J19-K19,"N/A")</f>
        <v/>
      </c>
      <c r="M19" s="141" t="inlineStr">
        <is>
          <t>N/A</t>
        </is>
      </c>
      <c r="N19" s="128">
        <f>IFERROR(L19-M19,"N/A")</f>
        <v/>
      </c>
      <c r="O19" s="128">
        <f>IFERROR(SUMIFS(tblInvTx[THB Value],tblInvTx[Transaction Type],"Buy",tblInvTx[Date],"&lt;="&amp;EOMONTH(DATE(2026,8,1),0))-SUMIFS(tblInvTx[THB Value],tblInvTx[Transaction Type],"Sell",tblInvTx[Date],"&lt;="&amp;EOMONTH(DATE(2026,8,1),0)),0)</f>
        <v/>
      </c>
      <c r="P19" s="131">
        <f>IFERROR(O19+IFERROR(XLOOKUP(DATE(2026,8,1),tblPVD[Month],tblPVD[Ending Balance (Reported)]),0),0)</f>
        <v/>
      </c>
      <c r="Q19" s="142" t="inlineStr">
        <is>
          <t>ยังไม่มีมูลค่าตลาดย้อนหลังในไฟล์ต้นทาง — กรอกเพิ่มได้ทุกสิ้นเดือน</t>
        </is>
      </c>
    </row>
    <row r="20">
      <c r="B20" s="127" t="n">
        <v>46266</v>
      </c>
      <c r="C20" s="190" t="inlineStr">
        <is>
          <t>Mixed-Date Snapshot</t>
        </is>
      </c>
      <c r="D20" s="128">
        <f>IFERROR(SUMIFS(tblAccounts[Current Balance],tblAccounts[Currency],"THB")+SUMIFS(tblAccounts[Current Balance],tblAccounts[Currency],"USD",tblAccounts[Account Type],"FCD")*XLOOKUP("CURRENT_FX_USDTHB",tblSettings[Key],tblSettings[Value])+SUMIFS(tblAccounts[Current Balance],tblAccounts[Currency],"USD",tblAccounts[Account Type],"Cash")*XLOOKUP("CURRENT_FX_USDTHB",tblSettings[Key],tblSettings[Value])-SUMIFS(tblAccounts[Current Balance],tblAccounts[Account Type],"PVD")-SUMIFS(tblAccounts[Current Balance],tblAccounts[Account Type],"Investment",tblAccounts[Currency],"THB"),0)</f>
        <v/>
      </c>
      <c r="E20" s="128">
        <f>IFERROR(SUMIFS(tblInv[Current Value (THB)],tblInv[Market],"US"),0)</f>
        <v/>
      </c>
      <c r="F20" s="128">
        <f>IFERROR(SUMIFS(tblInv[Current Value (THB)],tblInv[Market],"SET"),0)</f>
        <v/>
      </c>
      <c r="G20" s="128">
        <f>IFERROR(SUMIFS(tblInv[Current Value (THB)],tblInv[Market],"Commodity"),0)</f>
        <v/>
      </c>
      <c r="H20" s="128">
        <f>IFERROR(XLOOKUP(DATE(2026,9,1),tblPVD[Month],tblPVD[Ending Balance (Reported)]),"N/A")</f>
        <v/>
      </c>
      <c r="I20" s="128" t="n">
        <v>0</v>
      </c>
      <c r="J20" s="130">
        <f>IFERROR(SUM(D20:I20),"N/A")</f>
        <v/>
      </c>
      <c r="K20" s="128">
        <f>IFERROR(SUMIFS(tblDebt[Outstanding],tblDebt[Status],"&lt;&gt;Closed"),0)</f>
        <v/>
      </c>
      <c r="L20" s="189">
        <f>IFERROR(J20-K20,"N/A")</f>
        <v/>
      </c>
      <c r="M20" s="129" t="n">
        <v>240715.8708</v>
      </c>
      <c r="N20" s="128">
        <f>IFERROR(L20-M20,"N/A")</f>
        <v/>
      </c>
      <c r="O20" s="128">
        <f>IFERROR(SUMIFS(tblInvTx[THB Value],tblInvTx[Transaction Type],"Buy",tblInvTx[Date],"&lt;="&amp;EOMONTH(DATE(2026,9,1),0))-SUMIFS(tblInvTx[THB Value],tblInvTx[Transaction Type],"Sell",tblInvTx[Date],"&lt;="&amp;EOMONTH(DATE(2026,9,1),0)),0)</f>
        <v/>
      </c>
      <c r="P20" s="131">
        <f>IFERROR(O20+IFERROR(XLOOKUP(DATE(2026,9,1),tblPVD[Month],tblPVD[Ending Balance (Reported)]),0),0)</f>
        <v/>
      </c>
      <c r="Q20" s="142" t="inlineStr">
        <is>
          <t>Mixed-Date: US 14 ก.ย. / Cash 9 ก.ย. / SET 17 มิ.ย. / Gold 20 ส.ค. / PVD ก.ย. 69 — ไม่ใช่สแนปช็อตวันเดียวกัน</t>
        </is>
      </c>
    </row>
  </sheetData>
  <conditionalFormatting sqref="N6:N20">
    <cfRule type="cellIs" priority="1" operator="notBetween" dxfId="4">
      <formula>-0.5</formula>
      <formula>0.5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1F6FEB"/>
    <outlinePr summaryBelow="1" summaryRight="1"/>
    <pageSetUpPr/>
  </sheetPr>
  <dimension ref="B2:M20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2" max="2"/>
    <col width="18" customWidth="1" min="3" max="3"/>
    <col width="16" customWidth="1" min="4" max="4"/>
    <col width="16" customWidth="1" min="5" max="5"/>
    <col width="18" customWidth="1" min="6" max="6"/>
    <col width="16" customWidth="1" min="7" max="7"/>
    <col width="26" customWidth="1" min="8" max="8"/>
    <col width="16" customWidth="1" min="9" max="9"/>
    <col width="18" customWidth="1" min="10" max="10"/>
    <col width="11" customWidth="1" min="11" max="11"/>
    <col width="20" customWidth="1" min="12" max="12"/>
    <col width="13" customWidth="1" min="13" max="13"/>
  </cols>
  <sheetData>
    <row r="2" ht="26" customHeight="1">
      <c r="B2" s="124" t="inlineStr">
        <is>
          <t>15_FORECAST — ประมาณการความมั่งคั่ง</t>
        </is>
      </c>
    </row>
    <row r="3" ht="14" customHeight="1">
      <c r="B3" s="125" t="inlineStr">
        <is>
          <t>สมมติฐานทั้งหมดแก้ได้ที่ 17_SETTINGS (Salary Growth / Investment Return / PVD Return / DCA)</t>
        </is>
      </c>
    </row>
    <row r="5" ht="30" customHeight="1">
      <c r="B5" s="126" t="inlineStr">
        <is>
          <t>Year</t>
        </is>
      </c>
      <c r="C5" s="126" t="inlineStr">
        <is>
          <t>Salary (Annual)</t>
        </is>
      </c>
      <c r="D5" s="126" t="inlineStr">
        <is>
          <t>Employee PVD</t>
        </is>
      </c>
      <c r="E5" s="126" t="inlineStr">
        <is>
          <t>Employer PVD</t>
        </is>
      </c>
      <c r="F5" s="126" t="inlineStr">
        <is>
          <t>PVD Balance</t>
        </is>
      </c>
      <c r="G5" s="126" t="inlineStr">
        <is>
          <t>DCA Investment</t>
        </is>
      </c>
      <c r="H5" s="126" t="inlineStr">
        <is>
          <t>Estimated Investment Value</t>
        </is>
      </c>
      <c r="I5" s="126" t="inlineStr">
        <is>
          <t>Cash Saving</t>
        </is>
      </c>
      <c r="J5" s="126" t="inlineStr">
        <is>
          <t>Total Assets</t>
        </is>
      </c>
      <c r="K5" s="126" t="inlineStr">
        <is>
          <t>Debt</t>
        </is>
      </c>
      <c r="L5" s="126" t="inlineStr">
        <is>
          <t>Estimated Net Worth</t>
        </is>
      </c>
      <c r="M5" s="126" t="inlineStr">
        <is>
          <t>YoY Growth</t>
        </is>
      </c>
    </row>
    <row r="6">
      <c r="B6" s="178" t="n">
        <v>2026</v>
      </c>
      <c r="C6" s="174">
        <f>XLOOKUP("BASE_SALARY",tblSettings[Key],tblSettings[Value])*12</f>
        <v/>
      </c>
      <c r="D6" s="174">
        <f>C6*XLOOKUP("PVD_EMPLOYEE_PCT",tblSettings[Key],tblSettings[Value])</f>
        <v/>
      </c>
      <c r="E6" s="174">
        <f>C6*XLOOKUP("PVD_EMPLOYER_PCT",tblSettings[Key],tblSettings[Value])</f>
        <v/>
      </c>
      <c r="F6" s="175">
        <f>IFERROR(SUMIFS(tblInv[Current Value (THB)],tblInv[Market],"PVD"),0)+D6+E6</f>
        <v/>
      </c>
      <c r="G6" s="174">
        <f>(XLOOKUP("DCA_US_STOCKS",tblSettings[Key],tblSettings[Value])+XLOOKUP("DCA_INVEST_RESERVE",tblSettings[Key],tblSettings[Value]))*12</f>
        <v/>
      </c>
      <c r="H6" s="175">
        <f>IFERROR(SUMIFS(tblInv[Current Value (THB)],tblInv[Market],"US")+SUMIFS(tblInv[Current Value (THB)],tblInv[Market],"SET")+SUMIFS(tblInv[Current Value (THB)],tblInv[Market],"Commodity"),0)+G6</f>
        <v/>
      </c>
      <c r="I6" s="174">
        <f>IFERROR(XLOOKUP(MAX(tblNW[Date]),tblNW[Date],tblNW[Cash]),0)</f>
        <v/>
      </c>
      <c r="J6" s="191">
        <f>F6+H6+I6</f>
        <v/>
      </c>
      <c r="K6" s="174">
        <f>IFERROR(SUMIFS(tblDebt[Outstanding],tblDebt[Status],"&lt;&gt;Closed"),0)</f>
        <v/>
      </c>
      <c r="L6" s="192">
        <f>J6-K6</f>
        <v/>
      </c>
      <c r="M6" s="132" t="inlineStr"/>
    </row>
    <row r="7">
      <c r="B7" s="178" t="n">
        <v>2027</v>
      </c>
      <c r="C7" s="174">
        <f>C6*(1+XLOOKUP("SALARY_GROWTH",tblSettings[Key],tblSettings[Value]))</f>
        <v/>
      </c>
      <c r="D7" s="174">
        <f>C7*XLOOKUP("PVD_EMPLOYEE_PCT",tblSettings[Key],tblSettings[Value])</f>
        <v/>
      </c>
      <c r="E7" s="174">
        <f>C7*XLOOKUP("PVD_EMPLOYER_PCT",tblSettings[Key],tblSettings[Value])</f>
        <v/>
      </c>
      <c r="F7" s="175">
        <f>F6*(1+XLOOKUP("PVD_RETURN",tblSettings[Key],tblSettings[Value]))+D7+E7</f>
        <v/>
      </c>
      <c r="G7" s="174">
        <f>(XLOOKUP("DCA_US_STOCKS",tblSettings[Key],tblSettings[Value])+XLOOKUP("DCA_INVEST_RESERVE",tblSettings[Key],tblSettings[Value]))*12</f>
        <v/>
      </c>
      <c r="H7" s="175">
        <f>H6*(1+XLOOKUP("INVESTMENT_RETURN",tblSettings[Key],tblSettings[Value]))+G7</f>
        <v/>
      </c>
      <c r="I7" s="174">
        <f>I6</f>
        <v/>
      </c>
      <c r="J7" s="191">
        <f>F7+H7+I7</f>
        <v/>
      </c>
      <c r="K7" s="174">
        <f>IFERROR(SUMIFS(tblDebt[Outstanding],tblDebt[Status],"&lt;&gt;Closed"),0)</f>
        <v/>
      </c>
      <c r="L7" s="192">
        <f>J7-K7</f>
        <v/>
      </c>
      <c r="M7" s="132">
        <f>IFERROR(L7/L6-1,"")</f>
        <v/>
      </c>
    </row>
    <row r="8">
      <c r="B8" s="178" t="n">
        <v>2028</v>
      </c>
      <c r="C8" s="174">
        <f>C7*(1+XLOOKUP("SALARY_GROWTH",tblSettings[Key],tblSettings[Value]))</f>
        <v/>
      </c>
      <c r="D8" s="174">
        <f>C8*XLOOKUP("PVD_EMPLOYEE_PCT",tblSettings[Key],tblSettings[Value])</f>
        <v/>
      </c>
      <c r="E8" s="174">
        <f>C8*XLOOKUP("PVD_EMPLOYER_PCT",tblSettings[Key],tblSettings[Value])</f>
        <v/>
      </c>
      <c r="F8" s="175">
        <f>F7*(1+XLOOKUP("PVD_RETURN",tblSettings[Key],tblSettings[Value]))+D8+E8</f>
        <v/>
      </c>
      <c r="G8" s="174">
        <f>(XLOOKUP("DCA_US_STOCKS",tblSettings[Key],tblSettings[Value])+XLOOKUP("DCA_INVEST_RESERVE",tblSettings[Key],tblSettings[Value]))*12</f>
        <v/>
      </c>
      <c r="H8" s="175">
        <f>H7*(1+XLOOKUP("INVESTMENT_RETURN",tblSettings[Key],tblSettings[Value]))+G8</f>
        <v/>
      </c>
      <c r="I8" s="174">
        <f>I7</f>
        <v/>
      </c>
      <c r="J8" s="191">
        <f>F8+H8+I8</f>
        <v/>
      </c>
      <c r="K8" s="174">
        <f>IFERROR(SUMIFS(tblDebt[Outstanding],tblDebt[Status],"&lt;&gt;Closed"),0)</f>
        <v/>
      </c>
      <c r="L8" s="192">
        <f>J8-K8</f>
        <v/>
      </c>
      <c r="M8" s="132">
        <f>IFERROR(L8/L7-1,"")</f>
        <v/>
      </c>
    </row>
    <row r="9">
      <c r="B9" s="178" t="n">
        <v>2029</v>
      </c>
      <c r="C9" s="174">
        <f>C8*(1+XLOOKUP("SALARY_GROWTH",tblSettings[Key],tblSettings[Value]))</f>
        <v/>
      </c>
      <c r="D9" s="174">
        <f>C9*XLOOKUP("PVD_EMPLOYEE_PCT",tblSettings[Key],tblSettings[Value])</f>
        <v/>
      </c>
      <c r="E9" s="174">
        <f>C9*XLOOKUP("PVD_EMPLOYER_PCT",tblSettings[Key],tblSettings[Value])</f>
        <v/>
      </c>
      <c r="F9" s="175">
        <f>F8*(1+XLOOKUP("PVD_RETURN",tblSettings[Key],tblSettings[Value]))+D9+E9</f>
        <v/>
      </c>
      <c r="G9" s="174">
        <f>(XLOOKUP("DCA_US_STOCKS",tblSettings[Key],tblSettings[Value])+XLOOKUP("DCA_INVEST_RESERVE",tblSettings[Key],tblSettings[Value]))*12</f>
        <v/>
      </c>
      <c r="H9" s="175">
        <f>H8*(1+XLOOKUP("INVESTMENT_RETURN",tblSettings[Key],tblSettings[Value]))+G9</f>
        <v/>
      </c>
      <c r="I9" s="174">
        <f>I8</f>
        <v/>
      </c>
      <c r="J9" s="191">
        <f>F9+H9+I9</f>
        <v/>
      </c>
      <c r="K9" s="174">
        <f>IFERROR(SUMIFS(tblDebt[Outstanding],tblDebt[Status],"&lt;&gt;Closed"),0)</f>
        <v/>
      </c>
      <c r="L9" s="192">
        <f>J9-K9</f>
        <v/>
      </c>
      <c r="M9" s="132">
        <f>IFERROR(L9/L8-1,"")</f>
        <v/>
      </c>
    </row>
    <row r="10">
      <c r="B10" s="178" t="n">
        <v>2030</v>
      </c>
      <c r="C10" s="174">
        <f>C9*(1+XLOOKUP("SALARY_GROWTH",tblSettings[Key],tblSettings[Value]))</f>
        <v/>
      </c>
      <c r="D10" s="174">
        <f>C10*XLOOKUP("PVD_EMPLOYEE_PCT",tblSettings[Key],tblSettings[Value])</f>
        <v/>
      </c>
      <c r="E10" s="174">
        <f>C10*XLOOKUP("PVD_EMPLOYER_PCT",tblSettings[Key],tblSettings[Value])</f>
        <v/>
      </c>
      <c r="F10" s="175">
        <f>F9*(1+XLOOKUP("PVD_RETURN",tblSettings[Key],tblSettings[Value]))+D10+E10</f>
        <v/>
      </c>
      <c r="G10" s="174">
        <f>(XLOOKUP("DCA_US_STOCKS",tblSettings[Key],tblSettings[Value])+XLOOKUP("DCA_INVEST_RESERVE",tblSettings[Key],tblSettings[Value]))*12</f>
        <v/>
      </c>
      <c r="H10" s="175">
        <f>H9*(1+XLOOKUP("INVESTMENT_RETURN",tblSettings[Key],tblSettings[Value]))+G10</f>
        <v/>
      </c>
      <c r="I10" s="174">
        <f>I9</f>
        <v/>
      </c>
      <c r="J10" s="191">
        <f>F10+H10+I10</f>
        <v/>
      </c>
      <c r="K10" s="174">
        <f>IFERROR(SUMIFS(tblDebt[Outstanding],tblDebt[Status],"&lt;&gt;Closed"),0)</f>
        <v/>
      </c>
      <c r="L10" s="192">
        <f>J10-K10</f>
        <v/>
      </c>
      <c r="M10" s="132">
        <f>IFERROR(L10/L9-1,"")</f>
        <v/>
      </c>
    </row>
    <row r="11">
      <c r="B11" s="178" t="n">
        <v>2031</v>
      </c>
      <c r="C11" s="174">
        <f>C10*(1+XLOOKUP("SALARY_GROWTH",tblSettings[Key],tblSettings[Value]))</f>
        <v/>
      </c>
      <c r="D11" s="174">
        <f>C11*XLOOKUP("PVD_EMPLOYEE_PCT",tblSettings[Key],tblSettings[Value])</f>
        <v/>
      </c>
      <c r="E11" s="174">
        <f>C11*XLOOKUP("PVD_EMPLOYER_PCT",tblSettings[Key],tblSettings[Value])</f>
        <v/>
      </c>
      <c r="F11" s="175">
        <f>F10*(1+XLOOKUP("PVD_RETURN",tblSettings[Key],tblSettings[Value]))+D11+E11</f>
        <v/>
      </c>
      <c r="G11" s="174">
        <f>(XLOOKUP("DCA_US_STOCKS",tblSettings[Key],tblSettings[Value])+XLOOKUP("DCA_INVEST_RESERVE",tblSettings[Key],tblSettings[Value]))*12</f>
        <v/>
      </c>
      <c r="H11" s="175">
        <f>H10*(1+XLOOKUP("INVESTMENT_RETURN",tblSettings[Key],tblSettings[Value]))+G11</f>
        <v/>
      </c>
      <c r="I11" s="174">
        <f>I10</f>
        <v/>
      </c>
      <c r="J11" s="191">
        <f>F11+H11+I11</f>
        <v/>
      </c>
      <c r="K11" s="174">
        <f>IFERROR(SUMIFS(tblDebt[Outstanding],tblDebt[Status],"&lt;&gt;Closed"),0)</f>
        <v/>
      </c>
      <c r="L11" s="192">
        <f>J11-K11</f>
        <v/>
      </c>
      <c r="M11" s="132">
        <f>IFERROR(L11/L10-1,"")</f>
        <v/>
      </c>
    </row>
    <row r="12">
      <c r="B12" s="178" t="n">
        <v>2032</v>
      </c>
      <c r="C12" s="174">
        <f>C11*(1+XLOOKUP("SALARY_GROWTH",tblSettings[Key],tblSettings[Value]))</f>
        <v/>
      </c>
      <c r="D12" s="174">
        <f>C12*XLOOKUP("PVD_EMPLOYEE_PCT",tblSettings[Key],tblSettings[Value])</f>
        <v/>
      </c>
      <c r="E12" s="174">
        <f>C12*XLOOKUP("PVD_EMPLOYER_PCT",tblSettings[Key],tblSettings[Value])</f>
        <v/>
      </c>
      <c r="F12" s="175">
        <f>F11*(1+XLOOKUP("PVD_RETURN",tblSettings[Key],tblSettings[Value]))+D12+E12</f>
        <v/>
      </c>
      <c r="G12" s="174">
        <f>(XLOOKUP("DCA_US_STOCKS",tblSettings[Key],tblSettings[Value])+XLOOKUP("DCA_INVEST_RESERVE",tblSettings[Key],tblSettings[Value]))*12</f>
        <v/>
      </c>
      <c r="H12" s="175">
        <f>H11*(1+XLOOKUP("INVESTMENT_RETURN",tblSettings[Key],tblSettings[Value]))+G12</f>
        <v/>
      </c>
      <c r="I12" s="174">
        <f>I11</f>
        <v/>
      </c>
      <c r="J12" s="191">
        <f>F12+H12+I12</f>
        <v/>
      </c>
      <c r="K12" s="174">
        <f>IFERROR(SUMIFS(tblDebt[Outstanding],tblDebt[Status],"&lt;&gt;Closed"),0)</f>
        <v/>
      </c>
      <c r="L12" s="192">
        <f>J12-K12</f>
        <v/>
      </c>
      <c r="M12" s="132">
        <f>IFERROR(L12/L11-1,"")</f>
        <v/>
      </c>
    </row>
    <row r="13">
      <c r="B13" s="178" t="n">
        <v>2033</v>
      </c>
      <c r="C13" s="174">
        <f>C12*(1+XLOOKUP("SALARY_GROWTH",tblSettings[Key],tblSettings[Value]))</f>
        <v/>
      </c>
      <c r="D13" s="174">
        <f>C13*XLOOKUP("PVD_EMPLOYEE_PCT",tblSettings[Key],tblSettings[Value])</f>
        <v/>
      </c>
      <c r="E13" s="174">
        <f>C13*XLOOKUP("PVD_EMPLOYER_PCT",tblSettings[Key],tblSettings[Value])</f>
        <v/>
      </c>
      <c r="F13" s="175">
        <f>F12*(1+XLOOKUP("PVD_RETURN",tblSettings[Key],tblSettings[Value]))+D13+E13</f>
        <v/>
      </c>
      <c r="G13" s="174">
        <f>(XLOOKUP("DCA_US_STOCKS",tblSettings[Key],tblSettings[Value])+XLOOKUP("DCA_INVEST_RESERVE",tblSettings[Key],tblSettings[Value]))*12</f>
        <v/>
      </c>
      <c r="H13" s="175">
        <f>H12*(1+XLOOKUP("INVESTMENT_RETURN",tblSettings[Key],tblSettings[Value]))+G13</f>
        <v/>
      </c>
      <c r="I13" s="174">
        <f>I12</f>
        <v/>
      </c>
      <c r="J13" s="191">
        <f>F13+H13+I13</f>
        <v/>
      </c>
      <c r="K13" s="174">
        <f>IFERROR(SUMIFS(tblDebt[Outstanding],tblDebt[Status],"&lt;&gt;Closed"),0)</f>
        <v/>
      </c>
      <c r="L13" s="192">
        <f>J13-K13</f>
        <v/>
      </c>
      <c r="M13" s="132">
        <f>IFERROR(L13/L12-1,"")</f>
        <v/>
      </c>
    </row>
    <row r="14">
      <c r="B14" s="178" t="n">
        <v>2034</v>
      </c>
      <c r="C14" s="174">
        <f>C13*(1+XLOOKUP("SALARY_GROWTH",tblSettings[Key],tblSettings[Value]))</f>
        <v/>
      </c>
      <c r="D14" s="174">
        <f>C14*XLOOKUP("PVD_EMPLOYEE_PCT",tblSettings[Key],tblSettings[Value])</f>
        <v/>
      </c>
      <c r="E14" s="174">
        <f>C14*XLOOKUP("PVD_EMPLOYER_PCT",tblSettings[Key],tblSettings[Value])</f>
        <v/>
      </c>
      <c r="F14" s="175">
        <f>F13*(1+XLOOKUP("PVD_RETURN",tblSettings[Key],tblSettings[Value]))+D14+E14</f>
        <v/>
      </c>
      <c r="G14" s="174">
        <f>(XLOOKUP("DCA_US_STOCKS",tblSettings[Key],tblSettings[Value])+XLOOKUP("DCA_INVEST_RESERVE",tblSettings[Key],tblSettings[Value]))*12</f>
        <v/>
      </c>
      <c r="H14" s="175">
        <f>H13*(1+XLOOKUP("INVESTMENT_RETURN",tblSettings[Key],tblSettings[Value]))+G14</f>
        <v/>
      </c>
      <c r="I14" s="174">
        <f>I13</f>
        <v/>
      </c>
      <c r="J14" s="191">
        <f>F14+H14+I14</f>
        <v/>
      </c>
      <c r="K14" s="174">
        <f>IFERROR(SUMIFS(tblDebt[Outstanding],tblDebt[Status],"&lt;&gt;Closed"),0)</f>
        <v/>
      </c>
      <c r="L14" s="192">
        <f>J14-K14</f>
        <v/>
      </c>
      <c r="M14" s="132">
        <f>IFERROR(L14/L13-1,"")</f>
        <v/>
      </c>
    </row>
    <row r="15">
      <c r="B15" s="178" t="n">
        <v>2035</v>
      </c>
      <c r="C15" s="174">
        <f>C14*(1+XLOOKUP("SALARY_GROWTH",tblSettings[Key],tblSettings[Value]))</f>
        <v/>
      </c>
      <c r="D15" s="174">
        <f>C15*XLOOKUP("PVD_EMPLOYEE_PCT",tblSettings[Key],tblSettings[Value])</f>
        <v/>
      </c>
      <c r="E15" s="174">
        <f>C15*XLOOKUP("PVD_EMPLOYER_PCT",tblSettings[Key],tblSettings[Value])</f>
        <v/>
      </c>
      <c r="F15" s="175">
        <f>F14*(1+XLOOKUP("PVD_RETURN",tblSettings[Key],tblSettings[Value]))+D15+E15</f>
        <v/>
      </c>
      <c r="G15" s="174">
        <f>(XLOOKUP("DCA_US_STOCKS",tblSettings[Key],tblSettings[Value])+XLOOKUP("DCA_INVEST_RESERVE",tblSettings[Key],tblSettings[Value]))*12</f>
        <v/>
      </c>
      <c r="H15" s="175">
        <f>H14*(1+XLOOKUP("INVESTMENT_RETURN",tblSettings[Key],tblSettings[Value]))+G15</f>
        <v/>
      </c>
      <c r="I15" s="174">
        <f>I14</f>
        <v/>
      </c>
      <c r="J15" s="191">
        <f>F15+H15+I15</f>
        <v/>
      </c>
      <c r="K15" s="174">
        <f>IFERROR(SUMIFS(tblDebt[Outstanding],tblDebt[Status],"&lt;&gt;Closed"),0)</f>
        <v/>
      </c>
      <c r="L15" s="192">
        <f>J15-K15</f>
        <v/>
      </c>
      <c r="M15" s="132">
        <f>IFERROR(L15/L14-1,"")</f>
        <v/>
      </c>
    </row>
    <row r="16">
      <c r="B16" s="178" t="n">
        <v>2036</v>
      </c>
      <c r="C16" s="174">
        <f>C15*(1+XLOOKUP("SALARY_GROWTH",tblSettings[Key],tblSettings[Value]))</f>
        <v/>
      </c>
      <c r="D16" s="174">
        <f>C16*XLOOKUP("PVD_EMPLOYEE_PCT",tblSettings[Key],tblSettings[Value])</f>
        <v/>
      </c>
      <c r="E16" s="174">
        <f>C16*XLOOKUP("PVD_EMPLOYER_PCT",tblSettings[Key],tblSettings[Value])</f>
        <v/>
      </c>
      <c r="F16" s="175">
        <f>F15*(1+XLOOKUP("PVD_RETURN",tblSettings[Key],tblSettings[Value]))+D16+E16</f>
        <v/>
      </c>
      <c r="G16" s="174">
        <f>(XLOOKUP("DCA_US_STOCKS",tblSettings[Key],tblSettings[Value])+XLOOKUP("DCA_INVEST_RESERVE",tblSettings[Key],tblSettings[Value]))*12</f>
        <v/>
      </c>
      <c r="H16" s="175">
        <f>H15*(1+XLOOKUP("INVESTMENT_RETURN",tblSettings[Key],tblSettings[Value]))+G16</f>
        <v/>
      </c>
      <c r="I16" s="174">
        <f>I15</f>
        <v/>
      </c>
      <c r="J16" s="191">
        <f>F16+H16+I16</f>
        <v/>
      </c>
      <c r="K16" s="174">
        <f>IFERROR(SUMIFS(tblDebt[Outstanding],tblDebt[Status],"&lt;&gt;Closed"),0)</f>
        <v/>
      </c>
      <c r="L16" s="192">
        <f>J16-K16</f>
        <v/>
      </c>
      <c r="M16" s="132">
        <f>IFERROR(L16/L15-1,"")</f>
        <v/>
      </c>
    </row>
    <row r="17">
      <c r="B17" s="178" t="n">
        <v>2037</v>
      </c>
      <c r="C17" s="174">
        <f>C16*(1+XLOOKUP("SALARY_GROWTH",tblSettings[Key],tblSettings[Value]))</f>
        <v/>
      </c>
      <c r="D17" s="174">
        <f>C17*XLOOKUP("PVD_EMPLOYEE_PCT",tblSettings[Key],tblSettings[Value])</f>
        <v/>
      </c>
      <c r="E17" s="174">
        <f>C17*XLOOKUP("PVD_EMPLOYER_PCT",tblSettings[Key],tblSettings[Value])</f>
        <v/>
      </c>
      <c r="F17" s="175">
        <f>F16*(1+XLOOKUP("PVD_RETURN",tblSettings[Key],tblSettings[Value]))+D17+E17</f>
        <v/>
      </c>
      <c r="G17" s="174">
        <f>(XLOOKUP("DCA_US_STOCKS",tblSettings[Key],tblSettings[Value])+XLOOKUP("DCA_INVEST_RESERVE",tblSettings[Key],tblSettings[Value]))*12</f>
        <v/>
      </c>
      <c r="H17" s="175">
        <f>H16*(1+XLOOKUP("INVESTMENT_RETURN",tblSettings[Key],tblSettings[Value]))+G17</f>
        <v/>
      </c>
      <c r="I17" s="174">
        <f>I16</f>
        <v/>
      </c>
      <c r="J17" s="191">
        <f>F17+H17+I17</f>
        <v/>
      </c>
      <c r="K17" s="174">
        <f>IFERROR(SUMIFS(tblDebt[Outstanding],tblDebt[Status],"&lt;&gt;Closed"),0)</f>
        <v/>
      </c>
      <c r="L17" s="192">
        <f>J17-K17</f>
        <v/>
      </c>
      <c r="M17" s="132">
        <f>IFERROR(L17/L16-1,"")</f>
        <v/>
      </c>
    </row>
    <row r="18">
      <c r="B18" s="178" t="n">
        <v>2038</v>
      </c>
      <c r="C18" s="174">
        <f>C17*(1+XLOOKUP("SALARY_GROWTH",tblSettings[Key],tblSettings[Value]))</f>
        <v/>
      </c>
      <c r="D18" s="174">
        <f>C18*XLOOKUP("PVD_EMPLOYEE_PCT",tblSettings[Key],tblSettings[Value])</f>
        <v/>
      </c>
      <c r="E18" s="174">
        <f>C18*XLOOKUP("PVD_EMPLOYER_PCT",tblSettings[Key],tblSettings[Value])</f>
        <v/>
      </c>
      <c r="F18" s="175">
        <f>F17*(1+XLOOKUP("PVD_RETURN",tblSettings[Key],tblSettings[Value]))+D18+E18</f>
        <v/>
      </c>
      <c r="G18" s="174">
        <f>(XLOOKUP("DCA_US_STOCKS",tblSettings[Key],tblSettings[Value])+XLOOKUP("DCA_INVEST_RESERVE",tblSettings[Key],tblSettings[Value]))*12</f>
        <v/>
      </c>
      <c r="H18" s="175">
        <f>H17*(1+XLOOKUP("INVESTMENT_RETURN",tblSettings[Key],tblSettings[Value]))+G18</f>
        <v/>
      </c>
      <c r="I18" s="174">
        <f>I17</f>
        <v/>
      </c>
      <c r="J18" s="191">
        <f>F18+H18+I18</f>
        <v/>
      </c>
      <c r="K18" s="174">
        <f>IFERROR(SUMIFS(tblDebt[Outstanding],tblDebt[Status],"&lt;&gt;Closed"),0)</f>
        <v/>
      </c>
      <c r="L18" s="192">
        <f>J18-K18</f>
        <v/>
      </c>
      <c r="M18" s="132">
        <f>IFERROR(L18/L17-1,"")</f>
        <v/>
      </c>
    </row>
    <row r="19">
      <c r="B19" s="178" t="n">
        <v>2039</v>
      </c>
      <c r="C19" s="174">
        <f>C18*(1+XLOOKUP("SALARY_GROWTH",tblSettings[Key],tblSettings[Value]))</f>
        <v/>
      </c>
      <c r="D19" s="174">
        <f>C19*XLOOKUP("PVD_EMPLOYEE_PCT",tblSettings[Key],tblSettings[Value])</f>
        <v/>
      </c>
      <c r="E19" s="174">
        <f>C19*XLOOKUP("PVD_EMPLOYER_PCT",tblSettings[Key],tblSettings[Value])</f>
        <v/>
      </c>
      <c r="F19" s="175">
        <f>F18*(1+XLOOKUP("PVD_RETURN",tblSettings[Key],tblSettings[Value]))+D19+E19</f>
        <v/>
      </c>
      <c r="G19" s="174">
        <f>(XLOOKUP("DCA_US_STOCKS",tblSettings[Key],tblSettings[Value])+XLOOKUP("DCA_INVEST_RESERVE",tblSettings[Key],tblSettings[Value]))*12</f>
        <v/>
      </c>
      <c r="H19" s="175">
        <f>H18*(1+XLOOKUP("INVESTMENT_RETURN",tblSettings[Key],tblSettings[Value]))+G19</f>
        <v/>
      </c>
      <c r="I19" s="174">
        <f>I18</f>
        <v/>
      </c>
      <c r="J19" s="191">
        <f>F19+H19+I19</f>
        <v/>
      </c>
      <c r="K19" s="174">
        <f>IFERROR(SUMIFS(tblDebt[Outstanding],tblDebt[Status],"&lt;&gt;Closed"),0)</f>
        <v/>
      </c>
      <c r="L19" s="192">
        <f>J19-K19</f>
        <v/>
      </c>
      <c r="M19" s="132">
        <f>IFERROR(L19/L18-1,"")</f>
        <v/>
      </c>
    </row>
    <row r="20">
      <c r="B20" s="178" t="n">
        <v>2040</v>
      </c>
      <c r="C20" s="174">
        <f>C19*(1+XLOOKUP("SALARY_GROWTH",tblSettings[Key],tblSettings[Value]))</f>
        <v/>
      </c>
      <c r="D20" s="174">
        <f>C20*XLOOKUP("PVD_EMPLOYEE_PCT",tblSettings[Key],tblSettings[Value])</f>
        <v/>
      </c>
      <c r="E20" s="174">
        <f>C20*XLOOKUP("PVD_EMPLOYER_PCT",tblSettings[Key],tblSettings[Value])</f>
        <v/>
      </c>
      <c r="F20" s="175">
        <f>F19*(1+XLOOKUP("PVD_RETURN",tblSettings[Key],tblSettings[Value]))+D20+E20</f>
        <v/>
      </c>
      <c r="G20" s="174">
        <f>(XLOOKUP("DCA_US_STOCKS",tblSettings[Key],tblSettings[Value])+XLOOKUP("DCA_INVEST_RESERVE",tblSettings[Key],tblSettings[Value]))*12</f>
        <v/>
      </c>
      <c r="H20" s="175">
        <f>H19*(1+XLOOKUP("INVESTMENT_RETURN",tblSettings[Key],tblSettings[Value]))+G20</f>
        <v/>
      </c>
      <c r="I20" s="174">
        <f>I19</f>
        <v/>
      </c>
      <c r="J20" s="191">
        <f>F20+H20+I20</f>
        <v/>
      </c>
      <c r="K20" s="174">
        <f>IFERROR(SUMIFS(tblDebt[Outstanding],tblDebt[Status],"&lt;&gt;Closed"),0)</f>
        <v/>
      </c>
      <c r="L20" s="192">
        <f>J20-K20</f>
        <v/>
      </c>
      <c r="M20" s="132">
        <f>IFERROR(L20/L19-1,"")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tabColor rgb="00D97706"/>
    <outlinePr summaryBelow="1" summaryRight="1"/>
    <pageSetUpPr/>
  </sheetPr>
  <dimension ref="B2:U12"/>
  <sheetViews>
    <sheetView showGridLines="0" tabSelected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1" customWidth="1" min="4" max="4"/>
    <col width="12" customWidth="1" min="5" max="5"/>
    <col width="38" customWidth="1" min="6" max="6"/>
    <col width="38" customWidth="1" min="7" max="7"/>
    <col width="16" customWidth="1" min="8" max="8"/>
    <col width="13" customWidth="1" min="9" max="9"/>
    <col width="9" customWidth="1" min="10" max="10"/>
    <col width="12" customWidth="1" min="11" max="11"/>
    <col width="22" customWidth="1" min="12" max="12"/>
    <col width="16" customWidth="1" min="13" max="13"/>
    <col width="11" customWidth="1" min="14" max="14"/>
    <col width="13" customWidth="1" min="15" max="15"/>
    <col width="12" customWidth="1" min="16" max="16"/>
    <col width="12" customWidth="1" min="17" max="17"/>
    <col width="14" customWidth="1" min="18" max="18"/>
    <col width="14" customWidth="1" min="19" max="19"/>
    <col width="13" customWidth="1" min="20" max="20"/>
    <col width="14" customWidth="1" min="21" max="21"/>
  </cols>
  <sheetData>
    <row r="2" ht="26" customHeight="1">
      <c r="B2" s="124" t="inlineStr">
        <is>
          <t>16_INBOX — ข้อมูลจาก LINE / AI / OCR (ก่อน Confirm)</t>
        </is>
      </c>
    </row>
    <row r="3" ht="14" customHeight="1">
      <c r="B3" s="125" t="inlineStr">
        <is>
          <t>LINE → AI/OCR → INBOX → Review → Confirm → 04_TRANSACTIONS | ข้อมูลที่นี่ยังไม่ถูกนำไปคำนวณใน Dashboard จนกว่าสถานะจะเป็น Confirmed</t>
        </is>
      </c>
    </row>
    <row r="5" ht="30" customHeight="1">
      <c r="B5" s="126" t="inlineStr">
        <is>
          <t>Inbox ID</t>
        </is>
      </c>
      <c r="C5" s="126" t="inlineStr">
        <is>
          <t>Received Date</t>
        </is>
      </c>
      <c r="D5" s="126" t="inlineStr">
        <is>
          <t>Source</t>
        </is>
      </c>
      <c r="E5" s="126" t="inlineStr">
        <is>
          <t>Input Type</t>
        </is>
      </c>
      <c r="F5" s="126" t="inlineStr">
        <is>
          <t>Raw Data</t>
        </is>
      </c>
      <c r="G5" s="126" t="inlineStr">
        <is>
          <t>AI/OCR Result</t>
        </is>
      </c>
      <c r="H5" s="126" t="inlineStr">
        <is>
          <t>Transaction Type</t>
        </is>
      </c>
      <c r="I5" s="126" t="inlineStr">
        <is>
          <t>Amount</t>
        </is>
      </c>
      <c r="J5" s="126" t="inlineStr">
        <is>
          <t>Currency</t>
        </is>
      </c>
      <c r="K5" s="126" t="inlineStr">
        <is>
          <t>Date</t>
        </is>
      </c>
      <c r="L5" s="126" t="inlineStr">
        <is>
          <t>Account</t>
        </is>
      </c>
      <c r="M5" s="126" t="inlineStr">
        <is>
          <t>Category</t>
        </is>
      </c>
      <c r="N5" s="126" t="inlineStr">
        <is>
          <t>Asset</t>
        </is>
      </c>
      <c r="O5" s="126" t="inlineStr">
        <is>
          <t>Quantity</t>
        </is>
      </c>
      <c r="P5" s="126" t="inlineStr">
        <is>
          <t>Price</t>
        </is>
      </c>
      <c r="Q5" s="126" t="inlineStr">
        <is>
          <t>Confidence</t>
        </is>
      </c>
      <c r="R5" s="126" t="inlineStr">
        <is>
          <t>Status</t>
        </is>
      </c>
      <c r="S5" s="126" t="inlineStr">
        <is>
          <t>Reviewed By</t>
        </is>
      </c>
      <c r="T5" s="126" t="inlineStr">
        <is>
          <t>Review Date</t>
        </is>
      </c>
      <c r="U5" s="126" t="inlineStr">
        <is>
          <t>Linked TX ID</t>
        </is>
      </c>
    </row>
    <row r="6">
      <c r="B6" s="136" t="inlineStr">
        <is>
          <t>INBOX-0001</t>
        </is>
      </c>
      <c r="C6" s="144" t="n">
        <v>46282</v>
      </c>
      <c r="D6" s="137" t="inlineStr">
        <is>
          <t>LINE</t>
        </is>
      </c>
      <c r="E6" s="137" t="inlineStr">
        <is>
          <t>Image</t>
        </is>
      </c>
      <c r="F6" s="142" t="inlineStr">
        <is>
          <t>[ตัวอย่าง] สลิปโอนเงิน SCB 4,000 บาท ไป Dime</t>
        </is>
      </c>
      <c r="G6" s="142" t="inlineStr">
        <is>
          <t>amount=4000; date=2026-09-17; to=Dime Save THB</t>
        </is>
      </c>
      <c r="H6" s="137" t="inlineStr">
        <is>
          <t>Transfer</t>
        </is>
      </c>
      <c r="I6" s="193" t="n">
        <v>4000</v>
      </c>
      <c r="J6" s="137" t="inlineStr">
        <is>
          <t>THB</t>
        </is>
      </c>
      <c r="K6" s="144" t="n">
        <v>46282</v>
      </c>
      <c r="L6" s="136" t="inlineStr">
        <is>
          <t>Dime Save THB</t>
        </is>
      </c>
      <c r="M6" s="137" t="inlineStr">
        <is>
          <t>Transfer</t>
        </is>
      </c>
      <c r="N6" s="136" t="inlineStr"/>
      <c r="O6" s="194" t="n"/>
      <c r="P6" s="195" t="n"/>
      <c r="Q6" s="137" t="inlineStr">
        <is>
          <t>High</t>
        </is>
      </c>
      <c r="R6" s="149" t="inlineStr">
        <is>
          <t>Need Review</t>
        </is>
      </c>
      <c r="S6" s="136" t="inlineStr"/>
      <c r="T6" s="196" t="inlineStr"/>
      <c r="U6" s="137" t="inlineStr"/>
    </row>
    <row r="7">
      <c r="B7" s="136" t="inlineStr">
        <is>
          <t>INBOX-0002</t>
        </is>
      </c>
      <c r="C7" s="144" t="n">
        <v>46282</v>
      </c>
      <c r="D7" s="137" t="inlineStr">
        <is>
          <t>LINE</t>
        </is>
      </c>
      <c r="E7" s="137" t="inlineStr">
        <is>
          <t>Text</t>
        </is>
      </c>
      <c r="F7" s="142" t="inlineStr">
        <is>
          <t>[ตัวอย่าง] ซื้อ AAPL 7.3 USD</t>
        </is>
      </c>
      <c r="G7" s="142" t="inlineStr">
        <is>
          <t>asset=AAPL; amount=7.3; type=Buy</t>
        </is>
      </c>
      <c r="H7" s="137" t="inlineStr">
        <is>
          <t>Buy</t>
        </is>
      </c>
      <c r="I7" s="193" t="n">
        <v>7.3</v>
      </c>
      <c r="J7" s="137" t="inlineStr">
        <is>
          <t>USD</t>
        </is>
      </c>
      <c r="K7" s="144" t="n">
        <v>46282</v>
      </c>
      <c r="L7" s="136" t="inlineStr">
        <is>
          <t>Dime FCD USD</t>
        </is>
      </c>
      <c r="M7" s="137" t="inlineStr">
        <is>
          <t>Investment</t>
        </is>
      </c>
      <c r="N7" s="136" t="inlineStr">
        <is>
          <t>AAPL</t>
        </is>
      </c>
      <c r="O7" s="194" t="n">
        <v>0.0224</v>
      </c>
      <c r="P7" s="195" t="n">
        <v>325.272</v>
      </c>
      <c r="Q7" s="137" t="inlineStr">
        <is>
          <t>Medium</t>
        </is>
      </c>
      <c r="R7" s="149" t="inlineStr">
        <is>
          <t>New</t>
        </is>
      </c>
      <c r="S7" s="136" t="inlineStr"/>
      <c r="T7" s="196" t="inlineStr"/>
      <c r="U7" s="137" t="inlineStr"/>
    </row>
    <row r="10">
      <c r="B10" s="197" t="inlineStr">
        <is>
          <t>Flow:  LINE  →  AI/OCR  →  16_INBOX  →  Review  →  Confirm  →  04_TRANSACTIONS  →  Calculation  →  01_DASHBOARD</t>
        </is>
      </c>
    </row>
    <row r="12">
      <c r="B12" s="172" t="inlineStr">
        <is>
          <t>กติกา: Confidence = Low ต้องตั้งสถานะ Need Review เสมอ และห้ามนำเข้า 04_TRANSACTIONS จนกว่าจะเปลี่ยนเป็น Confirmed (กฎข้อ 46) | 2 แถวบนเป็นตัวอย่างรูปแบบข้อมูล ลบทิ้งได้</t>
        </is>
      </c>
    </row>
  </sheetData>
  <mergeCells count="2">
    <mergeCell ref="B10:N10"/>
    <mergeCell ref="B12:N12"/>
  </mergeCells>
  <conditionalFormatting sqref="R6:R207">
    <cfRule type="expression" priority="1" dxfId="3">
      <formula>$R6="Confirmed"</formula>
    </cfRule>
    <cfRule type="expression" priority="2" dxfId="4">
      <formula>$R6="Need Review"</formula>
    </cfRule>
    <cfRule type="expression" priority="3" dxfId="5">
      <formula>$R6="Rejected"</formula>
    </cfRule>
    <cfRule type="expression" priority="4" dxfId="11">
      <formula>$R6="New"</formula>
    </cfRule>
  </conditionalFormatting>
  <conditionalFormatting sqref="Q6:Q207">
    <cfRule type="expression" priority="5" dxfId="5">
      <formula>$Q6="Low"</formula>
    </cfRule>
  </conditionalFormatting>
  <dataValidations count="7">
    <dataValidation sqref="H6:H307" showDropDown="0" showInputMessage="0" showErrorMessage="0" allowBlank="1" errorTitle="ค่าไม่ถูกต้อง" error="ต้องเลือกจากรายการ TxType เท่านั้น" type="list" errorStyle="stop">
      <formula1>_LISTS!$B$2:$B$12</formula1>
    </dataValidation>
    <dataValidation sqref="J6:J307" showDropDown="0" showInputMessage="0" showErrorMessage="0" allowBlank="1" errorTitle="ค่าไม่ถูกต้อง" error="ต้องเลือกจากรายการ Currency เท่านั้น" type="list" errorStyle="stop">
      <formula1>_LISTS!$D$2:$D$3</formula1>
    </dataValidation>
    <dataValidation sqref="L6:L307" showDropDown="0" showInputMessage="0" showErrorMessage="0" allowBlank="1" errorTitle="ค่าไม่ถูกต้อง" error="ต้องเลือกจากรายการ Accounts เท่านั้น" type="list" errorStyle="stop">
      <formula1>_LISTS!$A$2:$A$14</formula1>
    </dataValidation>
    <dataValidation sqref="M6:M307" showDropDown="0" showInputMessage="0" showErrorMessage="0" allowBlank="1" errorTitle="ค่าไม่ถูกต้อง" error="ต้องเลือกจากรายการ CatType เท่านั้น" type="list" errorStyle="stop">
      <formula1>_LISTS!$E$2:$E$5</formula1>
    </dataValidation>
    <dataValidation sqref="N6:N307" showDropDown="0" showInputMessage="0" showErrorMessage="0" allowBlank="1" errorTitle="ค่าไม่ถูกต้อง" error="ต้องเลือกจากรายการ Asset เท่านั้น" type="list" errorStyle="stop">
      <formula1>_LISTS!$G$2:$G$20</formula1>
    </dataValidation>
    <dataValidation sqref="Q6:Q307" showDropDown="0" showInputMessage="0" showErrorMessage="0" allowBlank="1" errorTitle="ค่าไม่ถูกต้อง" error="ต้องเลือกจากรายการ Confidence เท่านั้น" type="list" errorStyle="stop">
      <formula1>_LISTS!$L$2:$L$4</formula1>
    </dataValidation>
    <dataValidation sqref="R6:R307" showDropDown="0" showInputMessage="0" showErrorMessage="0" allowBlank="1" errorTitle="ค่าไม่ถูกต้อง" error="ต้องเลือกจากรายการ InboxStatus เท่านั้น" type="list" errorStyle="stop">
      <formula1>_LISTS!$I$2:$I$6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F6FEB"/>
    <outlinePr summaryBelow="1" summaryRight="1"/>
    <pageSetUpPr/>
  </sheetPr>
  <dimension ref="B2:G26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34" customWidth="1" min="3" max="3"/>
    <col width="14" customWidth="1" min="4" max="4"/>
    <col width="14" customWidth="1" min="5" max="5"/>
    <col width="62" customWidth="1" min="6" max="6"/>
    <col width="16" customWidth="1" min="7" max="7"/>
  </cols>
  <sheetData>
    <row r="2" ht="26" customHeight="1">
      <c r="B2" s="124" t="inlineStr">
        <is>
          <t>17_SETTINGS — ค่าตั้งต้นของระบบ</t>
        </is>
      </c>
    </row>
    <row r="3" ht="14" customHeight="1">
      <c r="B3" s="125" t="inlineStr">
        <is>
          <t>แก้ค่าที่นี่ที่เดียว ทุกชีทและ Dashboard จะคำนวณตามอัตโนมัติ (ห้ามแก้คอลัมน์ Key)</t>
        </is>
      </c>
    </row>
    <row r="5" ht="30" customHeight="1">
      <c r="B5" s="126" t="inlineStr">
        <is>
          <t>Key</t>
        </is>
      </c>
      <c r="C5" s="126" t="inlineStr">
        <is>
          <t>Value</t>
        </is>
      </c>
      <c r="D5" s="126" t="inlineStr">
        <is>
          <t>Unit</t>
        </is>
      </c>
      <c r="E5" s="126" t="inlineStr">
        <is>
          <t>Category</t>
        </is>
      </c>
      <c r="F5" s="126" t="inlineStr">
        <is>
          <t>Description</t>
        </is>
      </c>
      <c r="G5" s="126" t="inlineStr">
        <is>
          <t>Last Updated</t>
        </is>
      </c>
    </row>
    <row r="6">
      <c r="B6" s="198" t="inlineStr">
        <is>
          <t>BASE_SALARY</t>
        </is>
      </c>
      <c r="C6" s="199" t="n">
        <v>18945</v>
      </c>
      <c r="D6" s="137" t="inlineStr">
        <is>
          <t>THB</t>
        </is>
      </c>
      <c r="E6" s="137" t="inlineStr">
        <is>
          <t>Income</t>
        </is>
      </c>
      <c r="F6" s="138" t="inlineStr">
        <is>
          <t>เงินเดือนฐานปัจจุบัน (ปี 2569)</t>
        </is>
      </c>
      <c r="G6" s="144" t="n">
        <v>46282</v>
      </c>
    </row>
    <row r="7">
      <c r="B7" s="198" t="inlineStr">
        <is>
          <t>SALARY_GROWTH</t>
        </is>
      </c>
      <c r="C7" s="200" t="n">
        <v>0.05</v>
      </c>
      <c r="D7" s="137" t="inlineStr">
        <is>
          <t>%</t>
        </is>
      </c>
      <c r="E7" s="137" t="inlineStr">
        <is>
          <t>Forecast</t>
        </is>
      </c>
      <c r="F7" s="138" t="inlineStr">
        <is>
          <t>อัตราการเติบโตเงินเดือนต่อปี</t>
        </is>
      </c>
      <c r="G7" s="144" t="n">
        <v>46282</v>
      </c>
    </row>
    <row r="8">
      <c r="B8" s="198" t="inlineStr">
        <is>
          <t>TRAVEL_ALLOWANCE</t>
        </is>
      </c>
      <c r="C8" s="199" t="n">
        <v>2000</v>
      </c>
      <c r="D8" s="137" t="inlineStr">
        <is>
          <t>THB</t>
        </is>
      </c>
      <c r="E8" s="137" t="inlineStr">
        <is>
          <t>Income</t>
        </is>
      </c>
      <c r="F8" s="138" t="inlineStr">
        <is>
          <t>ค่าเดินทางต่อเดือน</t>
        </is>
      </c>
      <c r="G8" s="144" t="n">
        <v>46282</v>
      </c>
    </row>
    <row r="9">
      <c r="B9" s="198" t="inlineStr">
        <is>
          <t>COST_OF_LIVING</t>
        </is>
      </c>
      <c r="C9" s="199" t="n">
        <v>800</v>
      </c>
      <c r="D9" s="137" t="inlineStr">
        <is>
          <t>THB</t>
        </is>
      </c>
      <c r="E9" s="137" t="inlineStr">
        <is>
          <t>Income</t>
        </is>
      </c>
      <c r="F9" s="138" t="inlineStr">
        <is>
          <t>ค่าครองชีพต่อเดือน</t>
        </is>
      </c>
      <c r="G9" s="144" t="n">
        <v>46282</v>
      </c>
    </row>
    <row r="10">
      <c r="B10" s="198" t="inlineStr">
        <is>
          <t>PVD_EMPLOYEE_PCT</t>
        </is>
      </c>
      <c r="C10" s="200" t="n">
        <v>0.15</v>
      </c>
      <c r="D10" s="137" t="inlineStr">
        <is>
          <t>%</t>
        </is>
      </c>
      <c r="E10" s="137" t="inlineStr">
        <is>
          <t>PVD</t>
        </is>
      </c>
      <c r="F10" s="138" t="inlineStr">
        <is>
          <t>เงินสะสมส่วนพนักงาน</t>
        </is>
      </c>
      <c r="G10" s="144" t="n">
        <v>46282</v>
      </c>
    </row>
    <row r="11">
      <c r="B11" s="198" t="inlineStr">
        <is>
          <t>PVD_EMPLOYER_PCT</t>
        </is>
      </c>
      <c r="C11" s="200" t="n">
        <v>0.12</v>
      </c>
      <c r="D11" s="137" t="inlineStr">
        <is>
          <t>%</t>
        </is>
      </c>
      <c r="E11" s="137" t="inlineStr">
        <is>
          <t>PVD</t>
        </is>
      </c>
      <c r="F11" s="138" t="inlineStr">
        <is>
          <t>เงินสมทบส่วนนายจ้าง</t>
        </is>
      </c>
      <c r="G11" s="144" t="n">
        <v>46282</v>
      </c>
    </row>
    <row r="12">
      <c r="B12" s="198" t="inlineStr">
        <is>
          <t>DCA_US_STOCKS</t>
        </is>
      </c>
      <c r="C12" s="199" t="n">
        <v>3000</v>
      </c>
      <c r="D12" s="137" t="inlineStr">
        <is>
          <t>THB</t>
        </is>
      </c>
      <c r="E12" s="137" t="inlineStr">
        <is>
          <t>DCA</t>
        </is>
      </c>
      <c r="F12" s="138" t="inlineStr">
        <is>
          <t>DCA หุ้นสหรัฐต่อเดือน</t>
        </is>
      </c>
      <c r="G12" s="144" t="n">
        <v>46282</v>
      </c>
    </row>
    <row r="13">
      <c r="B13" s="198" t="inlineStr">
        <is>
          <t>DCA_INVEST_RESERVE</t>
        </is>
      </c>
      <c r="C13" s="199" t="n">
        <v>1000</v>
      </c>
      <c r="D13" s="137" t="inlineStr">
        <is>
          <t>THB</t>
        </is>
      </c>
      <c r="E13" s="137" t="inlineStr">
        <is>
          <t>DCA</t>
        </is>
      </c>
      <c r="F13" s="138" t="inlineStr">
        <is>
          <t>เงินสำรองเพื่อการลงทุนต่อเดือน</t>
        </is>
      </c>
      <c r="G13" s="144" t="n">
        <v>46282</v>
      </c>
    </row>
    <row r="14">
      <c r="B14" s="198" t="inlineStr">
        <is>
          <t>EMERGENCY_FUND_TARGET</t>
        </is>
      </c>
      <c r="C14" s="199" t="n">
        <v>54000</v>
      </c>
      <c r="D14" s="137" t="inlineStr">
        <is>
          <t>THB</t>
        </is>
      </c>
      <c r="E14" s="137" t="inlineStr">
        <is>
          <t>Target</t>
        </is>
      </c>
      <c r="F14" s="138" t="inlineStr">
        <is>
          <t>เป้าหมายเงินสำรองฉุกเฉิน (3 เดือน)</t>
        </is>
      </c>
      <c r="G14" s="144" t="n">
        <v>46282</v>
      </c>
    </row>
    <row r="15">
      <c r="B15" s="198" t="inlineStr">
        <is>
          <t>SAVINGS_TARGET_PCT</t>
        </is>
      </c>
      <c r="C15" s="200" t="n">
        <v>0.3</v>
      </c>
      <c r="D15" s="137" t="inlineStr">
        <is>
          <t>%</t>
        </is>
      </c>
      <c r="E15" s="137" t="inlineStr">
        <is>
          <t>Target</t>
        </is>
      </c>
      <c r="F15" s="138" t="inlineStr">
        <is>
          <t>เป้าหมาย Savings Rate</t>
        </is>
      </c>
      <c r="G15" s="144" t="n">
        <v>46282</v>
      </c>
    </row>
    <row r="16">
      <c r="B16" s="198" t="inlineStr">
        <is>
          <t>INVESTMENT_TARGET_PCT</t>
        </is>
      </c>
      <c r="C16" s="200" t="n">
        <v>0.2</v>
      </c>
      <c r="D16" s="137" t="inlineStr">
        <is>
          <t>%</t>
        </is>
      </c>
      <c r="E16" s="137" t="inlineStr">
        <is>
          <t>Target</t>
        </is>
      </c>
      <c r="F16" s="138" t="inlineStr">
        <is>
          <t>เป้าหมาย Investment Rate</t>
        </is>
      </c>
      <c r="G16" s="144" t="n">
        <v>46282</v>
      </c>
    </row>
    <row r="17">
      <c r="B17" s="198" t="inlineStr">
        <is>
          <t>CURRENT_FX_USDTHB</t>
        </is>
      </c>
      <c r="C17" s="201" t="n">
        <v>33.1</v>
      </c>
      <c r="D17" s="137" t="inlineStr">
        <is>
          <t>THB/USD</t>
        </is>
      </c>
      <c r="E17" s="137" t="inlineStr">
        <is>
          <t>FX</t>
        </is>
      </c>
      <c r="F17" s="138" t="inlineStr">
        <is>
          <t>อัตราแลกเปลี่ยนปัจจุบัน (Snapshot) — Power Query เขียนทับที่ 19_PRICE_FEED</t>
        </is>
      </c>
      <c r="G17" s="144" t="n">
        <v>46282</v>
      </c>
    </row>
    <row r="18">
      <c r="B18" s="198" t="inlineStr">
        <is>
          <t>FX_AVG_COST</t>
        </is>
      </c>
      <c r="C18" s="201" t="n">
        <v>32.3668</v>
      </c>
      <c r="D18" s="137" t="inlineStr">
        <is>
          <t>THB/USD</t>
        </is>
      </c>
      <c r="E18" s="137" t="inlineStr">
        <is>
          <t>FX</t>
        </is>
      </c>
      <c r="F18" s="138" t="inlineStr">
        <is>
          <t>ต้นทุนเฉลี่ยถ่วงน้ำหนักจากการแลกเงินจริง 17 ครั้ง</t>
        </is>
      </c>
      <c r="G18" s="144" t="n">
        <v>46282</v>
      </c>
    </row>
    <row r="19">
      <c r="B19" s="198" t="inlineStr">
        <is>
          <t>CURRENT_MONTH</t>
        </is>
      </c>
      <c r="C19" s="202" t="inlineStr">
        <is>
          <t>2026-09-01</t>
        </is>
      </c>
      <c r="D19" s="137" t="inlineStr">
        <is>
          <t>Date</t>
        </is>
      </c>
      <c r="E19" s="137" t="inlineStr">
        <is>
          <t>System</t>
        </is>
      </c>
      <c r="F19" s="138" t="inlineStr">
        <is>
          <t>เดือนที่ Dashboard แสดง</t>
        </is>
      </c>
      <c r="G19" s="144" t="n">
        <v>46282</v>
      </c>
    </row>
    <row r="20">
      <c r="B20" s="198" t="inlineStr">
        <is>
          <t>INVESTMENT_RETURN</t>
        </is>
      </c>
      <c r="C20" s="200" t="n">
        <v>0.07000000000000001</v>
      </c>
      <c r="D20" s="137" t="inlineStr">
        <is>
          <t>%</t>
        </is>
      </c>
      <c r="E20" s="137" t="inlineStr">
        <is>
          <t>Forecast</t>
        </is>
      </c>
      <c r="F20" s="138" t="inlineStr">
        <is>
          <t>ผลตอบแทนการลงทุนคาดการณ์ต่อปี</t>
        </is>
      </c>
      <c r="G20" s="144" t="n">
        <v>46282</v>
      </c>
    </row>
    <row r="21">
      <c r="B21" s="198" t="inlineStr">
        <is>
          <t>PVD_RETURN</t>
        </is>
      </c>
      <c r="C21" s="200" t="n">
        <v>0.05</v>
      </c>
      <c r="D21" s="137" t="inlineStr">
        <is>
          <t>%</t>
        </is>
      </c>
      <c r="E21" s="137" t="inlineStr">
        <is>
          <t>Forecast</t>
        </is>
      </c>
      <c r="F21" s="138" t="inlineStr">
        <is>
          <t>ผลตอบแทน PVD คาดการณ์ต่อปี</t>
        </is>
      </c>
      <c r="G21" s="144" t="n">
        <v>46282</v>
      </c>
    </row>
    <row r="22">
      <c r="B22" s="198" t="inlineStr">
        <is>
          <t>CASH_LOW_THRESHOLD</t>
        </is>
      </c>
      <c r="C22" s="199" t="n">
        <v>3000</v>
      </c>
      <c r="D22" s="137" t="inlineStr">
        <is>
          <t>THB</t>
        </is>
      </c>
      <c r="E22" s="137" t="inlineStr">
        <is>
          <t>Alert</t>
        </is>
      </c>
      <c r="F22" s="138" t="inlineStr">
        <is>
          <t>ต่ำกว่านี้ = 🔴 เงินเหลือน้อย</t>
        </is>
      </c>
      <c r="G22" s="144" t="n">
        <v>46282</v>
      </c>
    </row>
    <row r="23">
      <c r="B23" s="198" t="inlineStr">
        <is>
          <t>CASH_OK_THRESHOLD</t>
        </is>
      </c>
      <c r="C23" s="199" t="n">
        <v>6000</v>
      </c>
      <c r="D23" s="137" t="inlineStr">
        <is>
          <t>THB</t>
        </is>
      </c>
      <c r="E23" s="137" t="inlineStr">
        <is>
          <t>Alert</t>
        </is>
      </c>
      <c r="F23" s="138" t="inlineStr">
        <is>
          <t>สูงกว่านี้ = 🟢 เงินเหลือเพียงพอ</t>
        </is>
      </c>
      <c r="G23" s="144" t="n">
        <v>46282</v>
      </c>
    </row>
    <row r="24">
      <c r="B24" s="198" t="inlineStr">
        <is>
          <t>STALE_DAYS</t>
        </is>
      </c>
      <c r="C24" s="199" t="n">
        <v>7</v>
      </c>
      <c r="D24" s="137" t="inlineStr">
        <is>
          <t>Days</t>
        </is>
      </c>
      <c r="E24" s="137" t="inlineStr">
        <is>
          <t>Alert</t>
        </is>
      </c>
      <c r="F24" s="138" t="inlineStr">
        <is>
          <t>ไม่อัปเดตเกินกี่วันถือว่าข้อมูลเก่า</t>
        </is>
      </c>
      <c r="G24" s="144" t="n">
        <v>46282</v>
      </c>
    </row>
    <row r="25">
      <c r="B25" s="198" t="inlineStr">
        <is>
          <t>OFFICIAL_QTY_SOURCE</t>
        </is>
      </c>
      <c r="C25" s="202" t="inlineStr">
        <is>
          <t>Dime Portfolio (Reported)</t>
        </is>
      </c>
      <c r="D25" s="137" t="inlineStr">
        <is>
          <t>Text</t>
        </is>
      </c>
      <c r="E25" s="137" t="inlineStr">
        <is>
          <t>Policy</t>
        </is>
      </c>
      <c r="F25" s="138" t="inlineStr">
        <is>
          <t>แหล่งข้อมูลจำนวนหุ้นที่ถือเป็นทางการ</t>
        </is>
      </c>
      <c r="G25" s="144" t="n">
        <v>46282</v>
      </c>
    </row>
    <row r="26">
      <c r="B26" s="198" t="inlineStr">
        <is>
          <t>SNAPSHOT_MODE</t>
        </is>
      </c>
      <c r="C26" s="202" t="inlineStr">
        <is>
          <t>Mixed-Date Snapshot</t>
        </is>
      </c>
      <c r="D26" s="137" t="inlineStr">
        <is>
          <t>Text</t>
        </is>
      </c>
      <c r="E26" s="137" t="inlineStr">
        <is>
          <t>Policy</t>
        </is>
      </c>
      <c r="F26" s="138" t="inlineStr">
        <is>
          <t>ข้อมูลแต่ละหมวดคนละวันที่ — ดูคอลัมน์ As-of</t>
        </is>
      </c>
      <c r="G26" s="144" t="n">
        <v>46282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DC2626"/>
    <outlinePr summaryBelow="1" summaryRight="1"/>
    <pageSetUpPr/>
  </sheetPr>
  <dimension ref="B2:N22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8" customWidth="1" min="4" max="4"/>
    <col width="22" customWidth="1" min="5" max="5"/>
    <col width="26" customWidth="1" min="6" max="6"/>
    <col width="54" customWidth="1" min="7" max="7"/>
    <col width="22" customWidth="1" min="8" max="8"/>
    <col width="22" customWidth="1" min="9" max="9"/>
    <col width="20" customWidth="1" min="10" max="10"/>
    <col width="58" customWidth="1" min="11" max="11"/>
    <col width="14" customWidth="1" min="12" max="12"/>
    <col width="13" customWidth="1" min="13" max="13"/>
    <col width="40" customWidth="1" min="14" max="14"/>
  </cols>
  <sheetData>
    <row r="2" ht="26" customHeight="1">
      <c r="B2" s="124" t="inlineStr">
        <is>
          <t>18_VALIDATION_LOG — ทะเบียนความขัดแย้งของข้อมูลและบันทึกการตัดสินใจ</t>
        </is>
      </c>
    </row>
    <row r="3" ht="14" customHeight="1">
      <c r="B3" s="125" t="inlineStr">
        <is>
          <t>ทุก Conflict ที่พบระหว่าง Migration ถูกบันทึกที่นี่ ไม่มีการแก้ข้อมูลเองโดยอัตโนมัติ (กฎข้อ 34–51)</t>
        </is>
      </c>
    </row>
    <row r="5" ht="30" customHeight="1">
      <c r="B5" s="126" t="inlineStr">
        <is>
          <t>Log ID</t>
        </is>
      </c>
      <c r="C5" s="126" t="inlineStr">
        <is>
          <t>Date</t>
        </is>
      </c>
      <c r="D5" s="126" t="inlineStr">
        <is>
          <t>Rule</t>
        </is>
      </c>
      <c r="E5" s="126" t="inlineStr">
        <is>
          <t>Type</t>
        </is>
      </c>
      <c r="F5" s="126" t="inlineStr">
        <is>
          <t>Where</t>
        </is>
      </c>
      <c r="G5" s="126" t="inlineStr">
        <is>
          <t>Conflict Description</t>
        </is>
      </c>
      <c r="H5" s="126" t="inlineStr">
        <is>
          <t>Value A</t>
        </is>
      </c>
      <c r="I5" s="126" t="inlineStr">
        <is>
          <t>Value B</t>
        </is>
      </c>
      <c r="J5" s="126" t="inlineStr">
        <is>
          <t>Impact</t>
        </is>
      </c>
      <c r="K5" s="126" t="inlineStr">
        <is>
          <t>Resolution</t>
        </is>
      </c>
      <c r="L5" s="126" t="inlineStr">
        <is>
          <t>Decided By</t>
        </is>
      </c>
      <c r="M5" s="126" t="inlineStr">
        <is>
          <t>Status</t>
        </is>
      </c>
      <c r="N5" s="126" t="inlineStr">
        <is>
          <t>Evidence</t>
        </is>
      </c>
    </row>
    <row r="6" ht="44" customHeight="1">
      <c r="B6" s="134" t="inlineStr">
        <is>
          <t>VL-01</t>
        </is>
      </c>
      <c r="C6" s="144" t="n">
        <v>46282</v>
      </c>
      <c r="D6" s="154" t="inlineStr">
        <is>
          <t>36C</t>
        </is>
      </c>
      <c r="E6" s="137" t="inlineStr">
        <is>
          <t>FX Conflict</t>
        </is>
      </c>
      <c r="F6" s="142" t="inlineStr">
        <is>
          <t>12_FX / 17_SETTINGS</t>
        </is>
      </c>
      <c r="G6" s="203" t="inlineStr">
        <is>
          <t>ไฟล์เดิมใช้ FX 3 ค่าปนกัน (32.81 / 33.10 / 33.77) ในการตีมูลค่าสินทรัพย์ชุดเดียวกัน</t>
        </is>
      </c>
      <c r="H6" s="137" t="inlineStr">
        <is>
          <t>32.81 (9 ก.ย.)</t>
        </is>
      </c>
      <c r="I6" s="137" t="inlineStr">
        <is>
          <t>33.10 (14 ก.ย.)</t>
        </is>
      </c>
      <c r="J6" s="154" t="inlineStr">
        <is>
          <t>Net Worth ±฿4,000</t>
        </is>
      </c>
      <c r="K6" s="203" t="inlineStr">
        <is>
          <t>ผู้ใช้เลือกใช้ 2 ค่า: (1) FX ตามวันที่จริงของแต่ละ transaction เก็บใน 12_FX (2) ค่าเฉลี่ยถ่วงน้ำหนัก 32.3668 สำหรับดูต้นทุนแลกเงิน (3) Current FX 33.10 สำหรับตีมูลค่าปัจจุบัน</t>
        </is>
      </c>
      <c r="L6" s="137" t="inlineStr">
        <is>
          <t>User</t>
        </is>
      </c>
      <c r="M6" s="204" t="inlineStr">
        <is>
          <t>Resolved</t>
        </is>
      </c>
      <c r="N6" s="142" t="inlineStr">
        <is>
          <t>DIME EX + DIME + USA STOCK sheets</t>
        </is>
      </c>
    </row>
    <row r="7" ht="44" customHeight="1">
      <c r="B7" s="134" t="inlineStr">
        <is>
          <t>VL-02</t>
        </is>
      </c>
      <c r="C7" s="144" t="n">
        <v>46282</v>
      </c>
      <c r="D7" s="154" t="inlineStr">
        <is>
          <t>38</t>
        </is>
      </c>
      <c r="E7" s="137" t="inlineStr">
        <is>
          <t>Investment Conflict</t>
        </is>
      </c>
      <c r="F7" s="142" t="inlineStr">
        <is>
          <t>06_INVESTMENT</t>
        </is>
      </c>
      <c r="G7" s="203" t="inlineStr">
        <is>
          <t>จำนวนหุ้นจากประวัติซื้อไม่ตรงกับพอร์ตจริง: SCHG ขาด 3.9951, LLY ขาด 0.0406, PRCT เกิน 0.1479, AMPX ขาด 0.0213</t>
        </is>
      </c>
      <c r="H7" s="137" t="inlineStr">
        <is>
          <t>ประวัติ TX</t>
        </is>
      </c>
      <c r="I7" s="137" t="inlineStr">
        <is>
          <t>พอร์ต Dime</t>
        </is>
      </c>
      <c r="J7" s="154" t="inlineStr">
        <is>
          <t>Investment Value ~$145</t>
        </is>
      </c>
      <c r="K7" s="203" t="inlineStr">
        <is>
          <t>ผู้ใช้ให้ยึดพอร์ตใน edited.xlsx เป็น Official — คอลัมน์ Qty from TX และ Qty Diff แสดงส่วนต่างไว้ ไม่ลบประวัติเดิม</t>
        </is>
      </c>
      <c r="L7" s="137" t="inlineStr">
        <is>
          <t>User</t>
        </is>
      </c>
      <c r="M7" s="204" t="inlineStr">
        <is>
          <t>Resolved</t>
        </is>
      </c>
      <c r="N7" s="142" t="inlineStr">
        <is>
          <t>USA STOCK vs USA STOCK HIS 2</t>
        </is>
      </c>
    </row>
    <row r="8" ht="44" customHeight="1">
      <c r="B8" s="134" t="inlineStr">
        <is>
          <t>VL-03</t>
        </is>
      </c>
      <c r="C8" s="144" t="n">
        <v>46282</v>
      </c>
      <c r="D8" s="154" t="inlineStr">
        <is>
          <t>38</t>
        </is>
      </c>
      <c r="E8" s="137" t="inlineStr">
        <is>
          <t>Investment Conflict</t>
        </is>
      </c>
      <c r="F8" s="142" t="inlineStr">
        <is>
          <t>06_INVESTMENT / 07_INVESTMENT_TX</t>
        </is>
      </c>
      <c r="G8" s="203" t="inlineStr">
        <is>
          <t>ชีท GOLD ระบุ "ขายหมดแล้ว = 0" แต่ GOLD HIS คำนวณได้ว่าเหลือ 0.0219 oz (~$98.5)</t>
        </is>
      </c>
      <c r="H8" s="137" t="inlineStr">
        <is>
          <t>0 oz (GOLD)</t>
        </is>
      </c>
      <c r="I8" s="137" t="inlineStr">
        <is>
          <t>0.0219 oz (GOLD HIS)</t>
        </is>
      </c>
      <c r="J8" s="154" t="inlineStr">
        <is>
          <t>Net Worth ~฿3,260</t>
        </is>
      </c>
      <c r="K8" s="203" t="inlineStr">
        <is>
          <t>ตรวจภาพหน้าจอ Dime ในโฟลเดอร์ Gold แล้วพบว่า GOLD HIS ตกหล่น 2 รายการ: ขาย 0.0283 oz (16 มี.ค. 69) และซื้อ 0.0064 oz (20 มี.ค. 69) เมื่อเติมครบ ยอดปิด = 0.000000 oz พอดี → ชีท GOLD ถูกต้อง และ Realized P/L แก้จาก +12.544 เป็น +23.103 USD</t>
        </is>
      </c>
      <c r="L8" s="137" t="inlineStr">
        <is>
          <t>Evidence</t>
        </is>
      </c>
      <c r="M8" s="204" t="inlineStr">
        <is>
          <t>Resolved</t>
        </is>
      </c>
      <c r="N8" s="142" t="inlineStr">
        <is>
          <t>IMG_7097–7102 (Drive/Gold)</t>
        </is>
      </c>
    </row>
    <row r="9" ht="44" customHeight="1">
      <c r="B9" s="134" t="inlineStr">
        <is>
          <t>VL-04</t>
        </is>
      </c>
      <c r="C9" s="144" t="n">
        <v>46282</v>
      </c>
      <c r="D9" s="154" t="inlineStr">
        <is>
          <t>44 / 37</t>
        </is>
      </c>
      <c r="E9" s="137" t="inlineStr">
        <is>
          <t>Date Conflict</t>
        </is>
      </c>
      <c r="F9" s="142" t="inlineStr">
        <is>
          <t>01_DASHBOARD / 14_NET_WORTH</t>
        </is>
      </c>
      <c r="G9" s="203" t="inlineStr">
        <is>
          <t>มูลค่าแต่ละหมวดมาจากคนละวันที่ (US 14 ก.ย. / Cash 9 ก.ย. / SET 17 มิ.ย. / Gold 20 ส.ค. / PVD ก.ย.)</t>
        </is>
      </c>
      <c r="H9" s="137" t="inlineStr">
        <is>
          <t>หลายวันที่</t>
        </is>
      </c>
      <c r="I9" s="137" t="inlineStr">
        <is>
          <t>—</t>
        </is>
      </c>
      <c r="J9" s="154" t="inlineStr">
        <is>
          <t>ตีความ Snapshot ผิดได้</t>
        </is>
      </c>
      <c r="K9" s="203" t="inlineStr">
        <is>
          <t>ไม่รวมเป็นวันเดียว — ติดป้าย "Mixed-Date Snapshot" และแสดงคอลัมน์ As-of Date ของทุกหมวด</t>
        </is>
      </c>
      <c r="L9" s="137" t="inlineStr">
        <is>
          <t>System</t>
        </is>
      </c>
      <c r="M9" s="204" t="inlineStr">
        <is>
          <t>Resolved</t>
        </is>
      </c>
      <c r="N9" s="142" t="inlineStr">
        <is>
          <t>ภาพรวม sheet (legacy)</t>
        </is>
      </c>
    </row>
    <row r="10" ht="44" customHeight="1">
      <c r="B10" s="134" t="inlineStr">
        <is>
          <t>VL-05</t>
        </is>
      </c>
      <c r="C10" s="144" t="n">
        <v>46282</v>
      </c>
      <c r="D10" s="154" t="inlineStr">
        <is>
          <t>45</t>
        </is>
      </c>
      <c r="E10" s="137" t="inlineStr">
        <is>
          <t>Missing Data</t>
        </is>
      </c>
      <c r="F10" s="142" t="inlineStr">
        <is>
          <t>03_ACCOUNTS</t>
        </is>
      </c>
      <c r="G10" s="203" t="inlineStr">
        <is>
          <t>บัญชี SCB 3 บัญชี และ GSB 2 บัญชี ไม่มีข้อมูลใด ๆ ในไฟล์ต้นทาง</t>
        </is>
      </c>
      <c r="H10" s="137" t="inlineStr">
        <is>
          <t>N/A</t>
        </is>
      </c>
      <c r="I10" s="137" t="inlineStr">
        <is>
          <t>—</t>
        </is>
      </c>
      <c r="J10" s="154" t="inlineStr">
        <is>
          <t>Total Cash ต่ำกว่าความจริง</t>
        </is>
      </c>
      <c r="K10" s="203" t="inlineStr">
        <is>
          <t>ใส่ N/A ไม่ใส่ 0 (กฎข้อ 45) — รอผู้ใช้กรอก Opening/Reported Balance</t>
        </is>
      </c>
      <c r="L10" s="137" t="inlineStr">
        <is>
          <t>System</t>
        </is>
      </c>
      <c r="M10" s="205" t="inlineStr">
        <is>
          <t>OPEN</t>
        </is>
      </c>
      <c r="N10" s="142" t="inlineStr">
        <is>
          <t>—</t>
        </is>
      </c>
    </row>
    <row r="11" ht="44" customHeight="1">
      <c r="B11" s="134" t="inlineStr">
        <is>
          <t>VL-06</t>
        </is>
      </c>
      <c r="C11" s="144" t="n">
        <v>46282</v>
      </c>
      <c r="D11" s="154" t="inlineStr">
        <is>
          <t>36B</t>
        </is>
      </c>
      <c r="E11" s="137" t="inlineStr">
        <is>
          <t>Balance Conflict</t>
        </is>
      </c>
      <c r="F11" s="142" t="inlineStr">
        <is>
          <t>03_ACCOUNTS</t>
        </is>
      </c>
      <c r="G11" s="203" t="inlineStr">
        <is>
          <t>ประวัติโยกเงินเริ่มบันทึก ก.พ. 2569 และครอบคลุมเฉพาะ Dime ทำให้ยอดคำนวณจาก TX ไม่เท่ายอดที่รายงาน</t>
        </is>
      </c>
      <c r="H11" s="137" t="inlineStr">
        <is>
          <t>Calculated</t>
        </is>
      </c>
      <c r="I11" s="137" t="inlineStr">
        <is>
          <t>Reported</t>
        </is>
      </c>
      <c r="J11" s="154" t="inlineStr">
        <is>
          <t>Cash Balance</t>
        </is>
      </c>
      <c r="K11" s="203" t="inlineStr">
        <is>
          <t>ตั้ง Opening Balance เป็นค่าตั้งต้นย้อนกลับ (derived plug, ระบุที่มาชัดเจน) และเก็บทั้ง Current Balance / Reported Balance / Difference ไว้คู่กัน ไม่ทับข้อมูลเดิม</t>
        </is>
      </c>
      <c r="L11" s="137" t="inlineStr">
        <is>
          <t>System</t>
        </is>
      </c>
      <c r="M11" s="204" t="inlineStr">
        <is>
          <t>Resolved</t>
        </is>
      </c>
      <c r="N11" s="142" t="inlineStr">
        <is>
          <t>ประวัติโยกเงิน</t>
        </is>
      </c>
    </row>
    <row r="12" ht="44" customHeight="1">
      <c r="B12" s="134" t="inlineStr">
        <is>
          <t>VL-07</t>
        </is>
      </c>
      <c r="C12" s="144" t="n">
        <v>46282</v>
      </c>
      <c r="D12" s="154" t="inlineStr">
        <is>
          <t>36</t>
        </is>
      </c>
      <c r="E12" s="137" t="inlineStr">
        <is>
          <t>Missing Record</t>
        </is>
      </c>
      <c r="F12" s="142" t="inlineStr">
        <is>
          <t>12_FX</t>
        </is>
      </c>
      <c r="G12" s="203" t="inlineStr">
        <is>
          <t>DIME EX ตกหล่นการแลกเงิน 2 ครั้ง (18 มิ.ย. 69 และ 30 มิ.ย. 69) ที่ปรากฏครบทั้งสองขาในประวัติโยกเงิน</t>
        </is>
      </c>
      <c r="H12" s="137" t="inlineStr">
        <is>
          <t>15 รายการ</t>
        </is>
      </c>
      <c r="I12" s="137" t="inlineStr">
        <is>
          <t>17 รายการ</t>
        </is>
      </c>
      <c r="J12" s="154" t="inlineStr">
        <is>
          <t>FX history ไม่ครบ</t>
        </is>
      </c>
      <c r="K12" s="203" t="inlineStr">
        <is>
          <t>กู้คืนจากประวัติโยกเงิน (฿2,999.90→$91.21 และ ฿2,999.82→$90.22) ติดป้าย Type=Derived, Status=Pending รอยืนยัน</t>
        </is>
      </c>
      <c r="L12" s="137" t="inlineStr">
        <is>
          <t>System</t>
        </is>
      </c>
      <c r="M12" s="160" t="inlineStr">
        <is>
          <t>Pending</t>
        </is>
      </c>
      <c r="N12" s="142" t="inlineStr">
        <is>
          <t>ประวัติโยกเงิน 18/06, 30/06</t>
        </is>
      </c>
    </row>
    <row r="13" ht="44" customHeight="1">
      <c r="B13" s="134" t="inlineStr">
        <is>
          <t>VL-08</t>
        </is>
      </c>
      <c r="C13" s="144" t="n">
        <v>46282</v>
      </c>
      <c r="D13" s="154" t="inlineStr">
        <is>
          <t>42</t>
        </is>
      </c>
      <c r="E13" s="137" t="inlineStr">
        <is>
          <t>Income vs Transfer</t>
        </is>
      </c>
      <c r="F13" s="142" t="inlineStr">
        <is>
          <t>04_TRANSACTIONS</t>
        </is>
      </c>
      <c r="G13" s="203" t="inlineStr">
        <is>
          <t>รายการ "รับเงินโอน" เข้า Dime Save 9 ครั้ง (ส่วนใหญ่ ฿4,000/เดือน) ไม่ระบุบัญชีต้นทาง</t>
        </is>
      </c>
      <c r="H13" s="137" t="inlineStr">
        <is>
          <t>Transfer?</t>
        </is>
      </c>
      <c r="I13" s="137" t="inlineStr">
        <is>
          <t>Income?</t>
        </is>
      </c>
      <c r="J13" s="154" t="inlineStr">
        <is>
          <t>Monthly Income / Savings Rate</t>
        </is>
      </c>
      <c r="K13" s="203" t="inlineStr">
        <is>
          <t>ยังไม่ตัดสิน — บันทึก Source Account = N/A และ Status = Pending รอผู้ใช้ยืนยันว่าเป็นบัญชีตัวเองหรือรายได้</t>
        </is>
      </c>
      <c r="L13" s="137" t="inlineStr">
        <is>
          <t>System</t>
        </is>
      </c>
      <c r="M13" s="205" t="inlineStr">
        <is>
          <t>OPEN</t>
        </is>
      </c>
      <c r="N13" s="142" t="inlineStr">
        <is>
          <t>ประวัติโยกเงิน</t>
        </is>
      </c>
    </row>
    <row r="14" ht="44" customHeight="1">
      <c r="B14" s="134" t="inlineStr">
        <is>
          <t>VL-09</t>
        </is>
      </c>
      <c r="C14" s="144" t="n">
        <v>46282</v>
      </c>
      <c r="D14" s="154" t="inlineStr">
        <is>
          <t>42</t>
        </is>
      </c>
      <c r="E14" s="137" t="inlineStr">
        <is>
          <t>Transfer Destination</t>
        </is>
      </c>
      <c r="F14" s="142" t="inlineStr">
        <is>
          <t>04_TRANSACTIONS</t>
        </is>
      </c>
      <c r="G14" s="203" t="inlineStr">
        <is>
          <t>รายการ "ถอน/โอนออก" ฿2,654.46 (6 พ.ค. 69) ไม่ระบุบัญชีปลายทาง</t>
        </is>
      </c>
      <c r="H14" s="137" t="inlineStr">
        <is>
          <t>-฿2,654.46</t>
        </is>
      </c>
      <c r="I14" s="137" t="inlineStr">
        <is>
          <t>—</t>
        </is>
      </c>
      <c r="J14" s="154" t="inlineStr">
        <is>
          <t>Cash / Expense</t>
        </is>
      </c>
      <c r="K14" s="203" t="inlineStr">
        <is>
          <t>บันทึก Destination = N/A, Status = Pending รอยืนยันว่าเป็น Expense หรือ Transfer</t>
        </is>
      </c>
      <c r="L14" s="137" t="inlineStr">
        <is>
          <t>System</t>
        </is>
      </c>
      <c r="M14" s="205" t="inlineStr">
        <is>
          <t>OPEN</t>
        </is>
      </c>
      <c r="N14" s="142" t="inlineStr">
        <is>
          <t>ประวัติโยกเงิน 06/05/2569</t>
        </is>
      </c>
    </row>
    <row r="15" ht="44" customHeight="1">
      <c r="B15" s="134" t="inlineStr">
        <is>
          <t>VL-10</t>
        </is>
      </c>
      <c r="C15" s="144" t="n">
        <v>46282</v>
      </c>
      <c r="D15" s="154" t="inlineStr">
        <is>
          <t>43</t>
        </is>
      </c>
      <c r="E15" s="137" t="inlineStr">
        <is>
          <t>Plan vs Actual</t>
        </is>
      </c>
      <c r="F15" s="142" t="inlineStr">
        <is>
          <t>08_DCA_PLAN / 10_BUDGET</t>
        </is>
      </c>
      <c r="G15" s="203" t="inlineStr">
        <is>
          <t>BUDGET วางแผน DCA ฿4,000/เดือน แต่ยอดซื้อหุ้นจริงประมาณ ฿3,000/เดือน</t>
        </is>
      </c>
      <c r="H15" s="137" t="inlineStr">
        <is>
          <t>฿4,000</t>
        </is>
      </c>
      <c r="I15" s="137" t="inlineStr">
        <is>
          <t>~฿3,000</t>
        </is>
      </c>
      <c r="J15" s="154" t="inlineStr">
        <is>
          <t>DCA completion</t>
        </is>
      </c>
      <c r="K15" s="203" t="inlineStr">
        <is>
          <t>ตามสเปกข้อ 19: แยกเป็น US Stocks ฿3,000 + Investment Reserve ฿1,000 — ส่วน Reserve ยังไม่มีบัญชีแยกรองรับ</t>
        </is>
      </c>
      <c r="L15" s="137" t="inlineStr">
        <is>
          <t>Spec</t>
        </is>
      </c>
      <c r="M15" s="204" t="inlineStr">
        <is>
          <t>Resolved</t>
        </is>
      </c>
      <c r="N15" s="142" t="inlineStr">
        <is>
          <t>BUDGET sheet</t>
        </is>
      </c>
    </row>
    <row r="16" ht="44" customHeight="1">
      <c r="B16" s="134" t="inlineStr">
        <is>
          <t>VL-11</t>
        </is>
      </c>
      <c r="C16" s="144" t="n">
        <v>46282</v>
      </c>
      <c r="D16" s="154" t="inlineStr">
        <is>
          <t>39</t>
        </is>
      </c>
      <c r="E16" s="137" t="inlineStr">
        <is>
          <t>PVD Check</t>
        </is>
      </c>
      <c r="F16" s="142" t="inlineStr">
        <is>
          <t>09_PVD</t>
        </is>
      </c>
      <c r="G16" s="203" t="inlineStr">
        <is>
          <t>ตรวจ เงินสะสม + เงินสมทบ + ผลประโยชน์ทั้งสองส่วน เทียบกับ Ending Balance ทุกเดือน</t>
        </is>
      </c>
      <c r="H16" s="137" t="inlineStr">
        <is>
          <t>Calculated</t>
        </is>
      </c>
      <c r="I16" s="137" t="inlineStr">
        <is>
          <t>Reported</t>
        </is>
      </c>
      <c r="J16" s="154" t="inlineStr">
        <is>
          <t>PVD Balance</t>
        </is>
      </c>
      <c r="K16" s="203" t="inlineStr">
        <is>
          <t>ตรงกันทุกเดือน Difference = 0 ไม่มี conflict | ข้อสังเกต: นายจ้างนำส่งแบบ 2 งวดรวม (พ.ค./ก.ค./ก.ย. ยอดไม่เพิ่ม)</t>
        </is>
      </c>
      <c r="L16" s="137" t="inlineStr">
        <is>
          <t>System</t>
        </is>
      </c>
      <c r="M16" s="204" t="inlineStr">
        <is>
          <t>Verified</t>
        </is>
      </c>
      <c r="N16" s="142" t="inlineStr">
        <is>
          <t>PVD HIS</t>
        </is>
      </c>
    </row>
    <row r="17" ht="44" customHeight="1">
      <c r="B17" s="134" t="inlineStr">
        <is>
          <t>VL-12</t>
        </is>
      </c>
      <c r="C17" s="144" t="n">
        <v>46282</v>
      </c>
      <c r="D17" s="154" t="inlineStr">
        <is>
          <t>45</t>
        </is>
      </c>
      <c r="E17" s="137" t="inlineStr">
        <is>
          <t>Missing Data</t>
        </is>
      </c>
      <c r="F17" s="142" t="inlineStr">
        <is>
          <t>06_INVESTMENT</t>
        </is>
      </c>
      <c r="G17" s="203" t="inlineStr">
        <is>
          <t>SET (SCB, GULF) มีแต่มูลค่ารวมและกำไร ไม่มีจำนวนหุ้นและราคาต่อหุ้น และไม่อัปเดตมา 3 เดือน</t>
        </is>
      </c>
      <c r="H17" s="137" t="inlineStr">
        <is>
          <t>มูลค่า ฿14,632</t>
        </is>
      </c>
      <c r="I17" s="137" t="inlineStr">
        <is>
          <t>ไม่มี Qty/Price</t>
        </is>
      </c>
      <c r="J17" s="154" t="inlineStr">
        <is>
          <t>Investment Value</t>
        </is>
      </c>
      <c r="K17" s="203" t="inlineStr">
        <is>
          <t>Quantity และ Average Cost = N/A | Cost Basis ฿11,788.90 คำนวณจากมูลค่า − กำไรที่ระบุ | Status = Stale</t>
        </is>
      </c>
      <c r="L17" s="137" t="inlineStr">
        <is>
          <t>System</t>
        </is>
      </c>
      <c r="M17" s="205" t="inlineStr">
        <is>
          <t>OPEN</t>
        </is>
      </c>
      <c r="N17" s="142" t="inlineStr">
        <is>
          <t>SET sheet 17 มิ.ย. 69</t>
        </is>
      </c>
    </row>
    <row r="18" ht="44" customHeight="1">
      <c r="B18" s="134" t="inlineStr">
        <is>
          <t>VL-13</t>
        </is>
      </c>
      <c r="C18" s="144" t="n">
        <v>46282</v>
      </c>
      <c r="D18" s="154" t="inlineStr">
        <is>
          <t>44</t>
        </is>
      </c>
      <c r="E18" s="137" t="inlineStr">
        <is>
          <t>Date Normalization</t>
        </is>
      </c>
      <c r="F18" s="142" t="inlineStr">
        <is>
          <t>07_INVESTMENT_TX</t>
        </is>
      </c>
      <c r="G18" s="203" t="inlineStr">
        <is>
          <t>รายการซื้อ META บันทึกเป็น timestamp UTC (2026-04-30T17:00:00Z) ต่างจากรูปแบบอื่น</t>
        </is>
      </c>
      <c r="H18" s="137" t="inlineStr">
        <is>
          <t>2026-04-30</t>
        </is>
      </c>
      <c r="I18" s="137" t="inlineStr">
        <is>
          <t>2026-05-01</t>
        </is>
      </c>
      <c r="J18" s="154" t="inlineStr">
        <is>
          <t>เดือนของ DCA</t>
        </is>
      </c>
      <c r="K18" s="203" t="inlineStr">
        <is>
          <t>แปลงเป็นเวลาไทย (UTC+7) = 2026-05-01 ตรงกับหมายเหตุในไฟล์เดิมที่ระบุ "1 พ.ค. 69 เวลา 00:10:20 น."</t>
        </is>
      </c>
      <c r="L18" s="137" t="inlineStr">
        <is>
          <t>Evidence</t>
        </is>
      </c>
      <c r="M18" s="204" t="inlineStr">
        <is>
          <t>Resolved</t>
        </is>
      </c>
      <c r="N18" s="142" t="inlineStr">
        <is>
          <t>USA STOCK HIS 2 note + IMG_7046</t>
        </is>
      </c>
    </row>
    <row r="19" ht="44" customHeight="1">
      <c r="B19" s="134" t="inlineStr">
        <is>
          <t>VL-14</t>
        </is>
      </c>
      <c r="C19" s="144" t="n">
        <v>46282</v>
      </c>
      <c r="D19" s="154" t="inlineStr">
        <is>
          <t>40</t>
        </is>
      </c>
      <c r="E19" s="137" t="inlineStr">
        <is>
          <t>Net Worth</t>
        </is>
      </c>
      <c r="F19" s="142" t="inlineStr">
        <is>
          <t>14_NET_WORTH</t>
        </is>
      </c>
      <c r="G19" s="203" t="inlineStr">
        <is>
          <t>Net Worth ที่รายงานในไฟล์เดิม vs ที่คำนวณจาก Assets − Debt</t>
        </is>
      </c>
      <c r="H19" s="137" t="inlineStr">
        <is>
          <t>฿240,715.87</t>
        </is>
      </c>
      <c r="I19" s="137" t="inlineStr">
        <is>
          <t>คำนวณสด</t>
        </is>
      </c>
      <c r="J19" s="154" t="inlineStr">
        <is>
          <t>Net Worth</t>
        </is>
      </c>
      <c r="K19" s="203" t="inlineStr">
        <is>
          <t>เก็บทั้งสองค่า (Reported / Calculated) พร้อมคอลัมน์ Difference ไม่ทับค่าเดิม</t>
        </is>
      </c>
      <c r="L19" s="137" t="inlineStr">
        <is>
          <t>System</t>
        </is>
      </c>
      <c r="M19" s="204" t="inlineStr">
        <is>
          <t>Resolved</t>
        </is>
      </c>
      <c r="N19" s="142" t="inlineStr">
        <is>
          <t>ภาพรวม + ประวัติ Net Worth</t>
        </is>
      </c>
    </row>
    <row r="20" ht="44" customHeight="1">
      <c r="B20" s="134" t="inlineStr">
        <is>
          <t>VL-15</t>
        </is>
      </c>
      <c r="C20" s="144" t="n">
        <v>46282</v>
      </c>
      <c r="D20" s="154" t="inlineStr">
        <is>
          <t>41</t>
        </is>
      </c>
      <c r="E20" s="137" t="inlineStr">
        <is>
          <t>Account Conflict</t>
        </is>
      </c>
      <c r="F20" s="142" t="inlineStr">
        <is>
          <t>03_ACCOUNTS</t>
        </is>
      </c>
      <c r="G20" s="203" t="inlineStr">
        <is>
          <t>"ดอกเบี้ยสะสม ฿253.78" ในชีท DIME ไม่ชัดว่าเป็นยอดแยกหรือรวมอยู่ใน Dime Save แล้ว</t>
        </is>
      </c>
      <c r="H20" s="137" t="inlineStr">
        <is>
          <t>แยกบัญชี</t>
        </is>
      </c>
      <c r="I20" s="137" t="inlineStr">
        <is>
          <t>รวมใน Dime Save</t>
        </is>
      </c>
      <c r="J20" s="154" t="inlineStr">
        <is>
          <t>Cash ฿253.78</t>
        </is>
      </c>
      <c r="K20" s="203" t="inlineStr">
        <is>
          <t>แยกเป็นบัญชี ACC-DIME-04 ชั่วคราวเพื่อให้ผลรวมตรง ฿44,147.49 พอดี — Status = Review รอยืนยันว่าควรยุบรวมหรือไม่</t>
        </is>
      </c>
      <c r="L20" s="137" t="inlineStr">
        <is>
          <t>System</t>
        </is>
      </c>
      <c r="M20" s="205" t="inlineStr">
        <is>
          <t>OPEN</t>
        </is>
      </c>
      <c r="N20" s="142" t="inlineStr">
        <is>
          <t>DIME sheet</t>
        </is>
      </c>
    </row>
    <row r="21" ht="44" customHeight="1">
      <c r="B21" s="134" t="inlineStr">
        <is>
          <t>VL-17</t>
        </is>
      </c>
      <c r="C21" s="144" t="n">
        <v>46282</v>
      </c>
      <c r="D21" s="154" t="inlineStr">
        <is>
          <t>38</t>
        </is>
      </c>
      <c r="E21" s="137" t="inlineStr">
        <is>
          <t>Investment Conflict</t>
        </is>
      </c>
      <c r="F21" s="142" t="inlineStr">
        <is>
          <t>06_INVESTMENT</t>
        </is>
      </c>
      <c r="G21" s="203" t="inlineStr">
        <is>
          <t>ในไฟล์เดิม ผลรวม "มูลค่า (USD)" รายตัว = $3,731.28 แต่ Quantity x Current Price = $3,725.50 (ต่าง $5.78)</t>
        </is>
      </c>
      <c r="H21" s="137" t="inlineStr">
        <is>
          <t>$3,731.28 (รายงาน)</t>
        </is>
      </c>
      <c r="I21" s="137" t="inlineStr">
        <is>
          <t>$3,725.50 (Qty x Price)</t>
        </is>
      </c>
      <c r="J21" s="154" t="inlineStr">
        <is>
          <t>Net Worth ~฿191</t>
        </is>
      </c>
      <c r="K21" s="203" t="inlineStr">
        <is>
          <t>ไม่แก้ตัวเลขใด — ระบบคำนวณ Current Value = Quantity x Effective Price เพื่อให้ราคา realtime ไหลเข้าได้ จึงจะแสดง $3,725.50 | สาเหตุคือไฟล์เดิมปัดเศษมูลค่ารายตัว 2 ตำแหน่งและย้อนคำนวณราคาต่อหุ้น | Profit/Loss +$519.91 ตรงกับไฟล์เดิมพอดี</t>
        </is>
      </c>
      <c r="L21" s="137" t="inlineStr">
        <is>
          <t>System</t>
        </is>
      </c>
      <c r="M21" s="204" t="inlineStr">
        <is>
          <t>Resolved</t>
        </is>
      </c>
      <c r="N21" s="142" t="inlineStr">
        <is>
          <t>USA STOCK sheet</t>
        </is>
      </c>
    </row>
    <row r="22" ht="44" customHeight="1">
      <c r="B22" s="134" t="inlineStr">
        <is>
          <t>VL-16</t>
        </is>
      </c>
      <c r="C22" s="144" t="n">
        <v>46282</v>
      </c>
      <c r="D22" s="154" t="inlineStr">
        <is>
          <t>38</t>
        </is>
      </c>
      <c r="E22" s="137" t="inlineStr">
        <is>
          <t>Unreconciled</t>
        </is>
      </c>
      <c r="F22" s="142" t="inlineStr">
        <is>
          <t>06_INVESTMENT</t>
        </is>
      </c>
      <c r="G22" s="203" t="inlineStr">
        <is>
          <t>AMPX สุทธิ (ซื้อ−ขาย) มากกว่าพอร์ตจริง 0.0213 หุ้น หาหลักฐานรายการไม่พบ</t>
        </is>
      </c>
      <c r="H22" s="137" t="inlineStr">
        <is>
          <t>11.0574</t>
        </is>
      </c>
      <c r="I22" s="137" t="inlineStr">
        <is>
          <t>11.0361</t>
        </is>
      </c>
      <c r="J22" s="154" t="inlineStr">
        <is>
          <t>~$0.25</t>
        </is>
      </c>
      <c r="K22" s="203" t="inlineStr">
        <is>
          <t>ไม่ประมาณการและไม่ปรับตัวเลข — แสดงใน Qty Diff รอหลักฐานเพิ่ม</t>
        </is>
      </c>
      <c r="L22" s="137" t="inlineStr">
        <is>
          <t>System</t>
        </is>
      </c>
      <c r="M22" s="205" t="inlineStr">
        <is>
          <t>OPEN</t>
        </is>
      </c>
      <c r="N22" s="142" t="inlineStr">
        <is>
          <t>USA STOCK HIS 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16A34A"/>
    <outlinePr summaryBelow="1" summaryRight="1"/>
    <pageSetUpPr/>
  </sheetPr>
  <dimension ref="B2:J50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13" customWidth="1" min="4" max="4"/>
    <col width="15" customWidth="1" min="5" max="5"/>
    <col width="15" customWidth="1" min="6" max="6"/>
    <col width="16" customWidth="1" min="7" max="7"/>
    <col width="11" customWidth="1" min="8" max="8"/>
    <col width="15" customWidth="1" min="9" max="9"/>
    <col width="30" customWidth="1" min="10" max="10"/>
  </cols>
  <sheetData>
    <row r="2" ht="26" customHeight="1">
      <c r="B2" s="124" t="inlineStr">
        <is>
          <t>19_PRICE_FEED — ราคาตลาด (ปลายทางของ Power Query)</t>
        </is>
      </c>
    </row>
    <row r="3" ht="14" customHeight="1">
      <c r="B3" s="125" t="inlineStr">
        <is>
          <t>Power Query เขียนทับคอลัมน์ Live Price / Live FX เท่านั้น — Manual Price คือค่าสำรองเมื่อดึงไม่ได้</t>
        </is>
      </c>
    </row>
    <row r="5" ht="30" customHeight="1">
      <c r="B5" s="126" t="inlineStr">
        <is>
          <t>Ticker</t>
        </is>
      </c>
      <c r="C5" s="126" t="inlineStr">
        <is>
          <t>Feed Symbol</t>
        </is>
      </c>
      <c r="D5" s="126" t="inlineStr">
        <is>
          <t>Market</t>
        </is>
      </c>
      <c r="E5" s="126" t="inlineStr">
        <is>
          <t>Live Price</t>
        </is>
      </c>
      <c r="F5" s="126" t="inlineStr">
        <is>
          <t>Manual Price</t>
        </is>
      </c>
      <c r="G5" s="126" t="inlineStr">
        <is>
          <t>Effective Price</t>
        </is>
      </c>
      <c r="H5" s="126" t="inlineStr">
        <is>
          <t>Currency</t>
        </is>
      </c>
      <c r="I5" s="126" t="inlineStr">
        <is>
          <t>Last Refresh</t>
        </is>
      </c>
      <c r="J5" s="126" t="inlineStr">
        <is>
          <t>Note</t>
        </is>
      </c>
    </row>
    <row r="6">
      <c r="B6" s="158" t="inlineStr">
        <is>
          <t>LLY</t>
        </is>
      </c>
      <c r="C6" s="206" t="inlineStr">
        <is>
          <t>lly.us</t>
        </is>
      </c>
      <c r="D6" s="137" t="inlineStr">
        <is>
          <t>US</t>
        </is>
      </c>
      <c r="E6" s="207" t="n"/>
      <c r="F6" s="157" t="n">
        <v>1111.240321071679</v>
      </c>
      <c r="G6" s="165">
        <f>IF(N([@[Live Price]])&gt;0,[@[Live Price]],[@[Manual Price]])</f>
        <v/>
      </c>
      <c r="H6" s="137" t="inlineStr">
        <is>
          <t>USD</t>
        </is>
      </c>
      <c r="I6" s="144" t="n">
        <v>46279</v>
      </c>
      <c r="J6" s="138" t="inlineStr">
        <is>
          <t>ราคาจาก Dime app 14 ก.ย. 69</t>
        </is>
      </c>
    </row>
    <row r="7">
      <c r="B7" s="158" t="inlineStr">
        <is>
          <t>AAPL</t>
        </is>
      </c>
      <c r="C7" s="206" t="inlineStr">
        <is>
          <t>aapl.us</t>
        </is>
      </c>
      <c r="D7" s="137" t="inlineStr">
        <is>
          <t>US</t>
        </is>
      </c>
      <c r="E7" s="207" t="n"/>
      <c r="F7" s="157" t="n">
        <v>330.5849019849575</v>
      </c>
      <c r="G7" s="165">
        <f>IF(N([@[Live Price]])&gt;0,[@[Live Price]],[@[Manual Price]])</f>
        <v/>
      </c>
      <c r="H7" s="137" t="inlineStr">
        <is>
          <t>USD</t>
        </is>
      </c>
      <c r="I7" s="144" t="n">
        <v>46279</v>
      </c>
      <c r="J7" s="138" t="inlineStr">
        <is>
          <t>ราคาจาก Dime app 14 ก.ย. 69</t>
        </is>
      </c>
    </row>
    <row r="8">
      <c r="B8" s="158" t="inlineStr">
        <is>
          <t>MSFT</t>
        </is>
      </c>
      <c r="C8" s="206" t="inlineStr">
        <is>
          <t>msft.us</t>
        </is>
      </c>
      <c r="D8" s="137" t="inlineStr">
        <is>
          <t>US</t>
        </is>
      </c>
      <c r="E8" s="207" t="n"/>
      <c r="F8" s="157" t="n">
        <v>494.8901078340755</v>
      </c>
      <c r="G8" s="165">
        <f>IF(N([@[Live Price]])&gt;0,[@[Live Price]],[@[Manual Price]])</f>
        <v/>
      </c>
      <c r="H8" s="137" t="inlineStr">
        <is>
          <t>USD</t>
        </is>
      </c>
      <c r="I8" s="144" t="n">
        <v>46279</v>
      </c>
      <c r="J8" s="138" t="inlineStr">
        <is>
          <t>ราคาจาก Dime app 14 ก.ย. 69</t>
        </is>
      </c>
    </row>
    <row r="9">
      <c r="B9" s="158" t="inlineStr">
        <is>
          <t>SCHG</t>
        </is>
      </c>
      <c r="C9" s="206" t="inlineStr">
        <is>
          <t>schg.us</t>
        </is>
      </c>
      <c r="D9" s="137" t="inlineStr">
        <is>
          <t>US</t>
        </is>
      </c>
      <c r="E9" s="207" t="n"/>
      <c r="F9" s="157" t="n">
        <v>35.1327749169043</v>
      </c>
      <c r="G9" s="165">
        <f>IF(N([@[Live Price]])&gt;0,[@[Live Price]],[@[Manual Price]])</f>
        <v/>
      </c>
      <c r="H9" s="137" t="inlineStr">
        <is>
          <t>USD</t>
        </is>
      </c>
      <c r="I9" s="144" t="n">
        <v>46279</v>
      </c>
      <c r="J9" s="138" t="inlineStr">
        <is>
          <t>ราคาจาก Dime app 14 ก.ย. 69</t>
        </is>
      </c>
    </row>
    <row r="10">
      <c r="B10" s="158" t="inlineStr">
        <is>
          <t>NVDA</t>
        </is>
      </c>
      <c r="C10" s="206" t="inlineStr">
        <is>
          <t>nvda.us</t>
        </is>
      </c>
      <c r="D10" s="137" t="inlineStr">
        <is>
          <t>US</t>
        </is>
      </c>
      <c r="E10" s="207" t="n"/>
      <c r="F10" s="157" t="n">
        <v>217.1427121533681</v>
      </c>
      <c r="G10" s="165">
        <f>IF(N([@[Live Price]])&gt;0,[@[Live Price]],[@[Manual Price]])</f>
        <v/>
      </c>
      <c r="H10" s="137" t="inlineStr">
        <is>
          <t>USD</t>
        </is>
      </c>
      <c r="I10" s="144" t="n">
        <v>46279</v>
      </c>
      <c r="J10" s="138" t="inlineStr">
        <is>
          <t>ราคาจาก Dime app 14 ก.ย. 69</t>
        </is>
      </c>
    </row>
    <row r="11">
      <c r="B11" s="158" t="inlineStr">
        <is>
          <t>GOOGL</t>
        </is>
      </c>
      <c r="C11" s="206" t="inlineStr">
        <is>
          <t>googl.us</t>
        </is>
      </c>
      <c r="D11" s="137" t="inlineStr">
        <is>
          <t>US</t>
        </is>
      </c>
      <c r="E11" s="207" t="n"/>
      <c r="F11" s="157" t="n">
        <v>336.8193342521807</v>
      </c>
      <c r="G11" s="165">
        <f>IF(N([@[Live Price]])&gt;0,[@[Live Price]],[@[Manual Price]])</f>
        <v/>
      </c>
      <c r="H11" s="137" t="inlineStr">
        <is>
          <t>USD</t>
        </is>
      </c>
      <c r="I11" s="144" t="n">
        <v>46279</v>
      </c>
      <c r="J11" s="138" t="inlineStr">
        <is>
          <t>ราคาจาก Dime app 14 ก.ย. 69</t>
        </is>
      </c>
    </row>
    <row r="12">
      <c r="B12" s="158" t="inlineStr">
        <is>
          <t>SCHD</t>
        </is>
      </c>
      <c r="C12" s="206" t="inlineStr">
        <is>
          <t>schd.us</t>
        </is>
      </c>
      <c r="D12" s="137" t="inlineStr">
        <is>
          <t>US</t>
        </is>
      </c>
      <c r="E12" s="207" t="n"/>
      <c r="F12" s="157" t="n">
        <v>34.04775196586424</v>
      </c>
      <c r="G12" s="165">
        <f>IF(N([@[Live Price]])&gt;0,[@[Live Price]],[@[Manual Price]])</f>
        <v/>
      </c>
      <c r="H12" s="137" t="inlineStr">
        <is>
          <t>USD</t>
        </is>
      </c>
      <c r="I12" s="144" t="n">
        <v>46279</v>
      </c>
      <c r="J12" s="138" t="inlineStr">
        <is>
          <t>ราคาจาก Dime app 14 ก.ย. 69</t>
        </is>
      </c>
    </row>
    <row r="13">
      <c r="B13" s="158" t="inlineStr">
        <is>
          <t>AMZN</t>
        </is>
      </c>
      <c r="C13" s="206" t="inlineStr">
        <is>
          <t>amzn.us</t>
        </is>
      </c>
      <c r="D13" s="137" t="inlineStr">
        <is>
          <t>US</t>
        </is>
      </c>
      <c r="E13" s="207" t="n"/>
      <c r="F13" s="157" t="n">
        <v>256.0721454740853</v>
      </c>
      <c r="G13" s="165">
        <f>IF(N([@[Live Price]])&gt;0,[@[Live Price]],[@[Manual Price]])</f>
        <v/>
      </c>
      <c r="H13" s="137" t="inlineStr">
        <is>
          <t>USD</t>
        </is>
      </c>
      <c r="I13" s="144" t="n">
        <v>46279</v>
      </c>
      <c r="J13" s="138" t="inlineStr">
        <is>
          <t>ราคาจาก Dime app 14 ก.ย. 69</t>
        </is>
      </c>
    </row>
    <row r="14">
      <c r="B14" s="158" t="inlineStr">
        <is>
          <t>META</t>
        </is>
      </c>
      <c r="C14" s="206" t="inlineStr">
        <is>
          <t>meta.us</t>
        </is>
      </c>
      <c r="D14" s="137" t="inlineStr">
        <is>
          <t>US</t>
        </is>
      </c>
      <c r="E14" s="207" t="n"/>
      <c r="F14" s="157" t="n">
        <v>652.1025161772243</v>
      </c>
      <c r="G14" s="165">
        <f>IF(N([@[Live Price]])&gt;0,[@[Live Price]],[@[Manual Price]])</f>
        <v/>
      </c>
      <c r="H14" s="137" t="inlineStr">
        <is>
          <t>USD</t>
        </is>
      </c>
      <c r="I14" s="144" t="n">
        <v>46279</v>
      </c>
      <c r="J14" s="138" t="inlineStr">
        <is>
          <t>ราคาจาก Dime app 14 ก.ย. 69</t>
        </is>
      </c>
    </row>
    <row r="15">
      <c r="B15" s="158" t="inlineStr">
        <is>
          <t>BEPC</t>
        </is>
      </c>
      <c r="C15" s="206" t="inlineStr">
        <is>
          <t>bepc.us</t>
        </is>
      </c>
      <c r="D15" s="137" t="inlineStr">
        <is>
          <t>US</t>
        </is>
      </c>
      <c r="E15" s="207" t="n"/>
      <c r="F15" s="157" t="n">
        <v>30.87385336567688</v>
      </c>
      <c r="G15" s="165">
        <f>IF(N([@[Live Price]])&gt;0,[@[Live Price]],[@[Manual Price]])</f>
        <v/>
      </c>
      <c r="H15" s="137" t="inlineStr">
        <is>
          <t>USD</t>
        </is>
      </c>
      <c r="I15" s="144" t="n">
        <v>46279</v>
      </c>
      <c r="J15" s="138" t="inlineStr">
        <is>
          <t>ราคาจาก Dime app 14 ก.ย. 69</t>
        </is>
      </c>
    </row>
    <row r="16">
      <c r="B16" s="158" t="inlineStr">
        <is>
          <t>V</t>
        </is>
      </c>
      <c r="C16" s="206" t="inlineStr">
        <is>
          <t>v.us</t>
        </is>
      </c>
      <c r="D16" s="137" t="inlineStr">
        <is>
          <t>US</t>
        </is>
      </c>
      <c r="E16" s="207" t="n"/>
      <c r="F16" s="157" t="n">
        <v>368.9512046205662</v>
      </c>
      <c r="G16" s="165">
        <f>IF(N([@[Live Price]])&gt;0,[@[Live Price]],[@[Manual Price]])</f>
        <v/>
      </c>
      <c r="H16" s="137" t="inlineStr">
        <is>
          <t>USD</t>
        </is>
      </c>
      <c r="I16" s="144" t="n">
        <v>46279</v>
      </c>
      <c r="J16" s="138" t="inlineStr">
        <is>
          <t>ราคาจาก Dime app 14 ก.ย. 69</t>
        </is>
      </c>
    </row>
    <row r="17">
      <c r="B17" s="158" t="inlineStr">
        <is>
          <t>AMPX</t>
        </is>
      </c>
      <c r="C17" s="206" t="inlineStr">
        <is>
          <t>ampx.us</t>
        </is>
      </c>
      <c r="D17" s="137" t="inlineStr">
        <is>
          <t>US</t>
        </is>
      </c>
      <c r="E17" s="207" t="n"/>
      <c r="F17" s="157" t="n">
        <v>9.521470532402304</v>
      </c>
      <c r="G17" s="165">
        <f>IF(N([@[Live Price]])&gt;0,[@[Live Price]],[@[Manual Price]])</f>
        <v/>
      </c>
      <c r="H17" s="137" t="inlineStr">
        <is>
          <t>USD</t>
        </is>
      </c>
      <c r="I17" s="144" t="n">
        <v>46279</v>
      </c>
      <c r="J17" s="138" t="inlineStr">
        <is>
          <t>ราคาจาก Dime app 14 ก.ย. 69</t>
        </is>
      </c>
    </row>
    <row r="18">
      <c r="B18" s="158" t="inlineStr">
        <is>
          <t>PRCT</t>
        </is>
      </c>
      <c r="C18" s="206" t="inlineStr">
        <is>
          <t>prct.us</t>
        </is>
      </c>
      <c r="D18" s="137" t="inlineStr">
        <is>
          <t>US</t>
        </is>
      </c>
      <c r="E18" s="207" t="n"/>
      <c r="F18" s="157" t="n">
        <v>20.6575738736149</v>
      </c>
      <c r="G18" s="165">
        <f>IF(N([@[Live Price]])&gt;0,[@[Live Price]],[@[Manual Price]])</f>
        <v/>
      </c>
      <c r="H18" s="137" t="inlineStr">
        <is>
          <t>USD</t>
        </is>
      </c>
      <c r="I18" s="144" t="n">
        <v>46279</v>
      </c>
      <c r="J18" s="138" t="inlineStr">
        <is>
          <t>ราคาจาก Dime app 14 ก.ย. 69</t>
        </is>
      </c>
    </row>
    <row r="19">
      <c r="B19" s="158" t="inlineStr">
        <is>
          <t>SCB</t>
        </is>
      </c>
      <c r="C19" s="206" t="inlineStr">
        <is>
          <t>scb.th</t>
        </is>
      </c>
      <c r="D19" s="137" t="inlineStr">
        <is>
          <t>SET</t>
        </is>
      </c>
      <c r="E19" s="207" t="n"/>
      <c r="F19" s="157" t="n"/>
      <c r="G19" s="165">
        <f>IF(N([@[Live Price]])&gt;0,[@[Live Price]],[@[Manual Price]])</f>
        <v/>
      </c>
      <c r="H19" s="137" t="inlineStr">
        <is>
          <t>THB</t>
        </is>
      </c>
      <c r="I19" s="144" t="n">
        <v>46279</v>
      </c>
      <c r="J19" s="138" t="inlineStr">
        <is>
          <t>ไม่มีราคาต่อหุ้นในไฟล์เดิม — มีแต่มูลค่ารวม</t>
        </is>
      </c>
    </row>
    <row r="20">
      <c r="B20" s="158" t="inlineStr">
        <is>
          <t>GULF</t>
        </is>
      </c>
      <c r="C20" s="206" t="inlineStr">
        <is>
          <t>gulf.th</t>
        </is>
      </c>
      <c r="D20" s="137" t="inlineStr">
        <is>
          <t>SET</t>
        </is>
      </c>
      <c r="E20" s="207" t="n"/>
      <c r="F20" s="157" t="n"/>
      <c r="G20" s="165">
        <f>IF(N([@[Live Price]])&gt;0,[@[Live Price]],[@[Manual Price]])</f>
        <v/>
      </c>
      <c r="H20" s="137" t="inlineStr">
        <is>
          <t>THB</t>
        </is>
      </c>
      <c r="I20" s="144" t="n">
        <v>46279</v>
      </c>
      <c r="J20" s="138" t="inlineStr">
        <is>
          <t>ไม่มีราคาต่อหุ้นในไฟล์เดิม — มีแต่มูลค่ารวม</t>
        </is>
      </c>
    </row>
    <row r="21">
      <c r="B21" s="158" t="inlineStr">
        <is>
          <t>MTS-GOLD</t>
        </is>
      </c>
      <c r="C21" s="206" t="inlineStr">
        <is>
          <t>xauusd</t>
        </is>
      </c>
      <c r="D21" s="137" t="inlineStr">
        <is>
          <t>Commodity</t>
        </is>
      </c>
      <c r="E21" s="207" t="n"/>
      <c r="F21" s="157" t="n">
        <v>4498.43</v>
      </c>
      <c r="G21" s="165">
        <f>IF(N([@[Live Price]])&gt;0,[@[Live Price]],[@[Manual Price]])</f>
        <v/>
      </c>
      <c r="H21" s="137" t="inlineStr">
        <is>
          <t>USD</t>
        </is>
      </c>
      <c r="I21" s="144" t="n">
        <v>46279</v>
      </c>
      <c r="J21" s="138" t="inlineStr">
        <is>
          <t>ราคาปิดสถานะ 20 ส.ค. 69</t>
        </is>
      </c>
    </row>
    <row r="22">
      <c r="B22" s="158" t="inlineStr">
        <is>
          <t>USDTHB</t>
        </is>
      </c>
      <c r="C22" s="206" t="inlineStr">
        <is>
          <t>usdthb</t>
        </is>
      </c>
      <c r="D22" s="137" t="inlineStr">
        <is>
          <t>FX</t>
        </is>
      </c>
      <c r="E22" s="207" t="n"/>
      <c r="F22" s="157" t="n">
        <v>33.1</v>
      </c>
      <c r="G22" s="165">
        <f>IF(N([@[Live Price]])&gt;0,[@[Live Price]],[@[Manual Price]])</f>
        <v/>
      </c>
      <c r="H22" s="137" t="inlineStr">
        <is>
          <t>THB</t>
        </is>
      </c>
      <c r="I22" s="144" t="n">
        <v>46279</v>
      </c>
      <c r="J22" s="138" t="inlineStr">
        <is>
          <t>อัตราอ้างอิง 14 ก.ย. 69</t>
        </is>
      </c>
    </row>
    <row r="25">
      <c r="B25" s="208" t="inlineStr">
        <is>
          <t>วิธีเปิด Realtime ด้วย Power Query (ทำครั้งเดียว ~1 นาที)</t>
        </is>
      </c>
    </row>
    <row r="26">
      <c r="B26" s="209" t="inlineStr">
        <is>
          <t>1) Data ▸ Get Data ▸ Launch Power Query Editor ▸ Home ▸ New Source ▸ Blank Query</t>
        </is>
      </c>
    </row>
    <row r="27">
      <c r="B27" s="209" t="inlineStr">
        <is>
          <t>2) Home ▸ Advanced Editor ▸ ลบของเดิมทั้งหมด แล้ววางสคริปต์ M ด้านล่าง ▸ Done</t>
        </is>
      </c>
    </row>
    <row r="28">
      <c r="B28" s="209" t="inlineStr">
        <is>
          <t>3) ตั้งชื่อ query ว่า  LivePrices  ▸ Home ▸ Close &amp; Load To… ▸ Only Create Connection</t>
        </is>
      </c>
    </row>
    <row r="29">
      <c r="B29" s="209" t="inlineStr">
        <is>
          <t>4) กลับมาที่ชีทนี้ ▸ คลิกในตาราง tblPrice ▸ Data ▸ Queries &amp; Connections ▸ ลาก LivePrices มา Merge</t>
        </is>
      </c>
    </row>
    <row r="30">
      <c r="B30" s="209" t="inlineStr">
        <is>
          <t xml:space="preserve">   (หรือง่ายกว่า: Close &amp; Load To… ▸ Existing worksheet ▸ เลือกเซลล์ว่างขวามือ แล้วให้ Live Price ใช้ XLOOKUP อ้างอิงผลนั้น)</t>
        </is>
      </c>
    </row>
    <row r="31">
      <c r="B31" s="209" t="inlineStr">
        <is>
          <t>5) ตั้ง Auto refresh: Data ▸ Queries &amp; Connections ▸ คลิกขวา LivePrices ▸ Properties ▸ Refresh every 5 minutes + Refresh data when opening the file</t>
        </is>
      </c>
    </row>
    <row r="32">
      <c r="B32" s="209" t="inlineStr">
        <is>
          <t>6) กด Data ▸ Refresh All เมื่อต้องการอัปเดตราคาทันที</t>
        </is>
      </c>
    </row>
    <row r="34">
      <c r="B34" s="197" t="inlineStr">
        <is>
          <t>สคริปต์ M (คัดลอกทั้งบล็อก)</t>
        </is>
      </c>
    </row>
    <row r="35">
      <c r="B35" s="210" t="inlineStr">
        <is>
          <t>let</t>
        </is>
      </c>
    </row>
    <row r="36">
      <c r="B36" s="210" t="inlineStr">
        <is>
          <t xml:space="preserve">    Symbols = Excel.CurrentWorkbook(){[Name="tblPrice"]}[Content],</t>
        </is>
      </c>
    </row>
    <row r="37">
      <c r="B37" s="210" t="inlineStr">
        <is>
          <t xml:space="preserve">    Wanted  = Table.SelectRows(Symbols, each [Feed Symbol] &lt;&gt; null and [Feed Symbol] &lt;&gt; ""),</t>
        </is>
      </c>
    </row>
    <row r="38">
      <c r="B38" s="210" t="inlineStr">
        <is>
          <t xml:space="preserve">    Fetch   = Table.AddColumn(Wanted, "Quote", each</t>
        </is>
      </c>
    </row>
    <row r="39">
      <c r="B39" s="210" t="inlineStr">
        <is>
          <t xml:space="preserve">        try</t>
        </is>
      </c>
    </row>
    <row r="40">
      <c r="B40" s="210" t="inlineStr">
        <is>
          <t xml:space="preserve">          let</t>
        </is>
      </c>
    </row>
    <row r="41">
      <c r="B41" s="210" t="inlineStr">
        <is>
          <t xml:space="preserve">            Url  = "https://stooq.com/q/l/?s=" &amp; [Feed Symbol] &amp; "&amp;f=sd2t2ohlc&amp;h&amp;e=csv",</t>
        </is>
      </c>
    </row>
    <row r="42">
      <c r="B42" s="210" t="inlineStr">
        <is>
          <t xml:space="preserve">            Csv  = Csv.Document(Web.Contents(Url), [Delimiter=",", Encoding=65001]),</t>
        </is>
      </c>
    </row>
    <row r="43">
      <c r="B43" s="210" t="inlineStr">
        <is>
          <t xml:space="preserve">            Tbl  = Table.PromoteHeaders(Csv, [PromoteAllScalars=true]),</t>
        </is>
      </c>
    </row>
    <row r="44">
      <c r="B44" s="210" t="inlineStr">
        <is>
          <t xml:space="preserve">            Val  = Number.FromText(Text.From(Tbl{0}[Close]))</t>
        </is>
      </c>
    </row>
    <row r="45">
      <c r="B45" s="210" t="inlineStr">
        <is>
          <t xml:space="preserve">          in Val</t>
        </is>
      </c>
    </row>
    <row r="46">
      <c r="B46" s="210" t="inlineStr">
        <is>
          <t xml:space="preserve">        otherwise null),</t>
        </is>
      </c>
    </row>
    <row r="47">
      <c r="B47" s="210" t="inlineStr">
        <is>
          <t xml:space="preserve">    Typed   = Table.TransformColumnTypes(Fetch, {{"Quote", type number}}),</t>
        </is>
      </c>
    </row>
    <row r="48">
      <c r="B48" s="210" t="inlineStr">
        <is>
          <t xml:space="preserve">    Result  = Table.SelectColumns(Typed, {"Ticker", "Feed Symbol", "Quote"})</t>
        </is>
      </c>
    </row>
    <row r="49">
      <c r="B49" s="210" t="inlineStr">
        <is>
          <t>in</t>
        </is>
      </c>
    </row>
    <row r="50">
      <c r="B50" s="210" t="inlineStr">
        <is>
          <t xml:space="preserve">    Result</t>
        </is>
      </c>
    </row>
  </sheetData>
  <mergeCells count="23">
    <mergeCell ref="B42:J42"/>
    <mergeCell ref="B38:J38"/>
    <mergeCell ref="B44:J44"/>
    <mergeCell ref="B29:J29"/>
    <mergeCell ref="B37:J37"/>
    <mergeCell ref="B28:J28"/>
    <mergeCell ref="B40:J40"/>
    <mergeCell ref="B49:J49"/>
    <mergeCell ref="B30:J30"/>
    <mergeCell ref="B45:J45"/>
    <mergeCell ref="B36:J36"/>
    <mergeCell ref="B32:J32"/>
    <mergeCell ref="B50:J50"/>
    <mergeCell ref="B26:J26"/>
    <mergeCell ref="B41:J41"/>
    <mergeCell ref="B35:J35"/>
    <mergeCell ref="B47:J47"/>
    <mergeCell ref="B46:J46"/>
    <mergeCell ref="B31:J31"/>
    <mergeCell ref="B27:J27"/>
    <mergeCell ref="B43:J43"/>
    <mergeCell ref="B39:J39"/>
    <mergeCell ref="B48:J4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0" zoomScale="90" workbookViewId="0">
      <selection activeCell="A1" sqref="A1"/>
    </sheetView>
  </sheetViews>
  <sheetFormatPr baseColWidth="8" defaultRowHeight="15"/>
  <sheetData>
    <row r="1">
      <c r="A1" s="115" t="inlineStr">
        <is>
          <t>Accounts</t>
        </is>
      </c>
      <c r="B1" s="115" t="inlineStr">
        <is>
          <t>TxType</t>
        </is>
      </c>
      <c r="C1" s="115" t="inlineStr">
        <is>
          <t>Status</t>
        </is>
      </c>
      <c r="D1" s="115" t="inlineStr">
        <is>
          <t>Currency</t>
        </is>
      </c>
      <c r="E1" s="115" t="inlineStr">
        <is>
          <t>CatType</t>
        </is>
      </c>
      <c r="F1" s="115" t="inlineStr">
        <is>
          <t>Category</t>
        </is>
      </c>
      <c r="G1" s="115" t="inlineStr">
        <is>
          <t>Asset</t>
        </is>
      </c>
      <c r="H1" s="115" t="inlineStr">
        <is>
          <t>Market</t>
        </is>
      </c>
      <c r="I1" s="115" t="inlineStr">
        <is>
          <t>InboxStatus</t>
        </is>
      </c>
      <c r="J1" s="115" t="inlineStr">
        <is>
          <t>TaxStatus</t>
        </is>
      </c>
      <c r="K1" s="115" t="inlineStr">
        <is>
          <t>BudgetStatus</t>
        </is>
      </c>
      <c r="L1" s="115" t="inlineStr">
        <is>
          <t>Confidence</t>
        </is>
      </c>
      <c r="M1" s="115" t="inlineStr">
        <is>
          <t>InvTxType</t>
        </is>
      </c>
      <c r="N1" s="115" t="inlineStr">
        <is>
          <t>AcctType</t>
        </is>
      </c>
      <c r="O1" s="115" t="inlineStr">
        <is>
          <t>DataStatus</t>
        </is>
      </c>
      <c r="P1" t="inlineStr">
        <is>
          <t>Months</t>
        </is>
      </c>
    </row>
    <row r="2">
      <c r="A2" t="inlineStr">
        <is>
          <t>SCB Salary Account</t>
        </is>
      </c>
      <c r="B2" t="inlineStr">
        <is>
          <t>Income</t>
        </is>
      </c>
      <c r="C2" t="inlineStr">
        <is>
          <t>Pending</t>
        </is>
      </c>
      <c r="D2" t="inlineStr">
        <is>
          <t>THB</t>
        </is>
      </c>
      <c r="E2" t="inlineStr">
        <is>
          <t>Expense</t>
        </is>
      </c>
      <c r="F2" t="inlineStr">
        <is>
          <t>Salary</t>
        </is>
      </c>
      <c r="G2" t="inlineStr">
        <is>
          <t>AAPL</t>
        </is>
      </c>
      <c r="H2" t="inlineStr">
        <is>
          <t>US</t>
        </is>
      </c>
      <c r="I2" t="inlineStr">
        <is>
          <t>New</t>
        </is>
      </c>
      <c r="J2" t="inlineStr">
        <is>
          <t>Estimated</t>
        </is>
      </c>
      <c r="K2" t="inlineStr">
        <is>
          <t>Normal</t>
        </is>
      </c>
      <c r="L2" t="inlineStr">
        <is>
          <t>High</t>
        </is>
      </c>
      <c r="M2" t="inlineStr">
        <is>
          <t>Buy</t>
        </is>
      </c>
      <c r="N2" t="inlineStr">
        <is>
          <t>Bank</t>
        </is>
      </c>
      <c r="O2" t="inlineStr">
        <is>
          <t>Confirmed</t>
        </is>
      </c>
      <c r="P2" s="211" t="n">
        <v>45839</v>
      </c>
    </row>
    <row r="3">
      <c r="A3" t="inlineStr">
        <is>
          <t>SCB Daily Living Account</t>
        </is>
      </c>
      <c r="B3" t="inlineStr">
        <is>
          <t>Expense</t>
        </is>
      </c>
      <c r="C3" t="inlineStr">
        <is>
          <t>Confirmed</t>
        </is>
      </c>
      <c r="D3" t="inlineStr">
        <is>
          <t>USD</t>
        </is>
      </c>
      <c r="E3" t="inlineStr">
        <is>
          <t>Income</t>
        </is>
      </c>
      <c r="F3" t="inlineStr">
        <is>
          <t>Travel Allowance</t>
        </is>
      </c>
      <c r="G3" t="inlineStr">
        <is>
          <t>AMPX</t>
        </is>
      </c>
      <c r="H3" t="inlineStr">
        <is>
          <t>SET</t>
        </is>
      </c>
      <c r="I3" t="inlineStr">
        <is>
          <t>AI Processed</t>
        </is>
      </c>
      <c r="J3" t="inlineStr">
        <is>
          <t>Actual</t>
        </is>
      </c>
      <c r="K3" t="inlineStr">
        <is>
          <t>Warning</t>
        </is>
      </c>
      <c r="L3" t="inlineStr">
        <is>
          <t>Medium</t>
        </is>
      </c>
      <c r="M3" t="inlineStr">
        <is>
          <t>Sell</t>
        </is>
      </c>
      <c r="N3" t="inlineStr">
        <is>
          <t>Savings</t>
        </is>
      </c>
      <c r="O3" t="inlineStr">
        <is>
          <t>Pending</t>
        </is>
      </c>
      <c r="P3" s="211" t="n">
        <v>45870</v>
      </c>
    </row>
    <row r="4">
      <c r="A4" t="inlineStr">
        <is>
          <t>SCB Emergency Reserve Account</t>
        </is>
      </c>
      <c r="B4" t="inlineStr">
        <is>
          <t>Transfer</t>
        </is>
      </c>
      <c r="C4" t="inlineStr">
        <is>
          <t>Cancelled</t>
        </is>
      </c>
      <c r="E4" t="inlineStr">
        <is>
          <t>Investment</t>
        </is>
      </c>
      <c r="F4" t="inlineStr">
        <is>
          <t>Cost of Living</t>
        </is>
      </c>
      <c r="G4" t="inlineStr">
        <is>
          <t>AMZN</t>
        </is>
      </c>
      <c r="H4" t="inlineStr">
        <is>
          <t>Commodity</t>
        </is>
      </c>
      <c r="I4" t="inlineStr">
        <is>
          <t>Need Review</t>
        </is>
      </c>
      <c r="J4" t="inlineStr">
        <is>
          <t>Projected</t>
        </is>
      </c>
      <c r="K4" t="inlineStr">
        <is>
          <t>Over Budget</t>
        </is>
      </c>
      <c r="L4" t="inlineStr">
        <is>
          <t>Low</t>
        </is>
      </c>
      <c r="M4" t="inlineStr">
        <is>
          <t>Dividend</t>
        </is>
      </c>
      <c r="N4" t="inlineStr">
        <is>
          <t>Investment</t>
        </is>
      </c>
      <c r="O4" t="inlineStr">
        <is>
          <t>Rejected</t>
        </is>
      </c>
      <c r="P4" s="211" t="n">
        <v>45901</v>
      </c>
    </row>
    <row r="5">
      <c r="A5" t="inlineStr">
        <is>
          <t>GSB Deposit Account</t>
        </is>
      </c>
      <c r="B5" t="inlineStr">
        <is>
          <t>Buy</t>
        </is>
      </c>
      <c r="E5" t="inlineStr">
        <is>
          <t>Saving</t>
        </is>
      </c>
      <c r="F5" t="inlineStr">
        <is>
          <t>Freelance</t>
        </is>
      </c>
      <c r="G5" t="inlineStr">
        <is>
          <t>BEPC</t>
        </is>
      </c>
      <c r="H5" t="inlineStr">
        <is>
          <t>PVD</t>
        </is>
      </c>
      <c r="I5" t="inlineStr">
        <is>
          <t>Confirmed</t>
        </is>
      </c>
      <c r="M5" t="inlineStr">
        <is>
          <t>Fee</t>
        </is>
      </c>
      <c r="N5" t="inlineStr">
        <is>
          <t>PVD</t>
        </is>
      </c>
      <c r="O5" t="inlineStr">
        <is>
          <t>Calculated</t>
        </is>
      </c>
      <c r="P5" s="211" t="n">
        <v>45931</v>
      </c>
    </row>
    <row r="6">
      <c r="A6" t="inlineStr">
        <is>
          <t>GSB Digital Savings Lottery</t>
        </is>
      </c>
      <c r="B6" t="inlineStr">
        <is>
          <t>Sell</t>
        </is>
      </c>
      <c r="F6" t="inlineStr">
        <is>
          <t>Bonus</t>
        </is>
      </c>
      <c r="G6" t="inlineStr">
        <is>
          <t>GOOGL</t>
        </is>
      </c>
      <c r="I6" t="inlineStr">
        <is>
          <t>Rejected</t>
        </is>
      </c>
      <c r="M6" t="inlineStr">
        <is>
          <t>Transfer</t>
        </is>
      </c>
      <c r="N6" t="inlineStr">
        <is>
          <t>FCD</t>
        </is>
      </c>
      <c r="O6" t="inlineStr">
        <is>
          <t>Reported</t>
        </is>
      </c>
      <c r="P6" s="211" t="n">
        <v>45962</v>
      </c>
    </row>
    <row r="7">
      <c r="A7" t="inlineStr">
        <is>
          <t>Dime Save THB</t>
        </is>
      </c>
      <c r="B7" t="inlineStr">
        <is>
          <t>Dividend</t>
        </is>
      </c>
      <c r="F7" t="inlineStr">
        <is>
          <t>Interest</t>
        </is>
      </c>
      <c r="G7" t="inlineStr">
        <is>
          <t>GULF</t>
        </is>
      </c>
      <c r="N7" t="inlineStr">
        <is>
          <t>Cash</t>
        </is>
      </c>
      <c r="O7" t="inlineStr">
        <is>
          <t>Missing</t>
        </is>
      </c>
      <c r="P7" s="211" t="n">
        <v>45992</v>
      </c>
    </row>
    <row r="8">
      <c r="A8" t="inlineStr">
        <is>
          <t>Dime FCD USD</t>
        </is>
      </c>
      <c r="B8" t="inlineStr">
        <is>
          <t>Interest</t>
        </is>
      </c>
      <c r="F8" t="inlineStr">
        <is>
          <t>Dividend</t>
        </is>
      </c>
      <c r="G8" t="inlineStr">
        <is>
          <t>JEPQ</t>
        </is>
      </c>
      <c r="P8" s="211" t="n">
        <v>46023</v>
      </c>
    </row>
    <row r="9">
      <c r="A9" t="inlineStr">
        <is>
          <t>Dime USD</t>
        </is>
      </c>
      <c r="B9" t="inlineStr">
        <is>
          <t>Fee</t>
        </is>
      </c>
      <c r="F9" t="inlineStr">
        <is>
          <t>Other Income</t>
        </is>
      </c>
      <c r="G9" t="inlineStr">
        <is>
          <t>LLY</t>
        </is>
      </c>
      <c r="P9" s="211" t="n">
        <v>46054</v>
      </c>
    </row>
    <row r="10">
      <c r="A10" t="inlineStr">
        <is>
          <t>Dime Accrued Interest</t>
        </is>
      </c>
      <c r="B10" t="inlineStr">
        <is>
          <t>PVD Contribution</t>
        </is>
      </c>
      <c r="F10" t="inlineStr">
        <is>
          <t>Food</t>
        </is>
      </c>
      <c r="G10" t="inlineStr">
        <is>
          <t>META</t>
        </is>
      </c>
      <c r="P10" s="211" t="n">
        <v>46082</v>
      </c>
    </row>
    <row r="11">
      <c r="A11" t="inlineStr">
        <is>
          <t>Dime SET</t>
        </is>
      </c>
      <c r="B11" t="inlineStr">
        <is>
          <t>PVD Employer</t>
        </is>
      </c>
      <c r="F11" t="inlineStr">
        <is>
          <t>Transportation</t>
        </is>
      </c>
      <c r="G11" t="inlineStr">
        <is>
          <t>MSFT</t>
        </is>
      </c>
      <c r="P11" s="211" t="n">
        <v>46113</v>
      </c>
    </row>
    <row r="12">
      <c r="A12" t="inlineStr">
        <is>
          <t>Dime US Stocks</t>
        </is>
      </c>
      <c r="B12" t="inlineStr">
        <is>
          <t>Debt Payment</t>
        </is>
      </c>
      <c r="F12" t="inlineStr">
        <is>
          <t>Parking</t>
        </is>
      </c>
      <c r="G12" t="inlineStr">
        <is>
          <t>MTS-GOLD</t>
        </is>
      </c>
      <c r="P12" s="211" t="n">
        <v>46143</v>
      </c>
    </row>
    <row r="13">
      <c r="A13" t="inlineStr">
        <is>
          <t>Dime Gold</t>
        </is>
      </c>
      <c r="F13" t="inlineStr">
        <is>
          <t>Cat</t>
        </is>
      </c>
      <c r="G13" t="inlineStr">
        <is>
          <t>NVDA</t>
        </is>
      </c>
      <c r="P13" s="211" t="n">
        <v>46174</v>
      </c>
    </row>
    <row r="14">
      <c r="A14" t="inlineStr">
        <is>
          <t>PVD</t>
        </is>
      </c>
      <c r="F14" t="inlineStr">
        <is>
          <t>Shopping</t>
        </is>
      </c>
      <c r="G14" t="inlineStr">
        <is>
          <t>PRCT</t>
        </is>
      </c>
      <c r="P14" s="211" t="n">
        <v>46204</v>
      </c>
    </row>
    <row r="15">
      <c r="F15" t="inlineStr">
        <is>
          <t>Bills</t>
        </is>
      </c>
      <c r="G15" t="inlineStr">
        <is>
          <t>PVD</t>
        </is>
      </c>
      <c r="P15" s="211" t="n">
        <v>46235</v>
      </c>
    </row>
    <row r="16">
      <c r="F16" t="inlineStr">
        <is>
          <t>Entertainment</t>
        </is>
      </c>
      <c r="G16" t="inlineStr">
        <is>
          <t>SCB</t>
        </is>
      </c>
      <c r="P16" s="211" t="n">
        <v>46266</v>
      </c>
    </row>
    <row r="17">
      <c r="F17" t="inlineStr">
        <is>
          <t>Other</t>
        </is>
      </c>
      <c r="G17" t="inlineStr">
        <is>
          <t>SCHD</t>
        </is>
      </c>
    </row>
    <row r="18">
      <c r="F18" t="inlineStr">
        <is>
          <t>Emergency Fund</t>
        </is>
      </c>
      <c r="G18" t="inlineStr">
        <is>
          <t>SCHG</t>
        </is>
      </c>
    </row>
    <row r="19">
      <c r="F19" t="inlineStr">
        <is>
          <t>Investment Reserve</t>
        </is>
      </c>
      <c r="G19" t="inlineStr">
        <is>
          <t>UNH</t>
        </is>
      </c>
    </row>
    <row r="20">
      <c r="F20" t="inlineStr">
        <is>
          <t>US Stocks</t>
        </is>
      </c>
      <c r="G20" t="inlineStr">
        <is>
          <t>V</t>
        </is>
      </c>
    </row>
    <row r="21">
      <c r="F21" t="inlineStr">
        <is>
          <t>SET</t>
        </is>
      </c>
    </row>
    <row r="22">
      <c r="F22" t="inlineStr">
        <is>
          <t>Gold</t>
        </is>
      </c>
    </row>
    <row r="23">
      <c r="F23" t="inlineStr">
        <is>
          <t>PVD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 WEALTH v1</dc:creator>
  <dc:title>MY WEALTH — Personal Wealth Management Data Center</dc:title>
  <dc:description>Financial Data Center v1 — normalized from edited.xlsx. Single source of truth: 04_TRANSACTIONS / 07_INVESTMENT_TX / 09_PVD / 12_FX / 03_ACCOUNTS.</dc:description>
  <dcterms:created xsi:type="dcterms:W3CDTF">2026-09-17T05:05:45Z</dcterms:created>
  <dcterms:modified xsi:type="dcterms:W3CDTF">2026-09-17T05:05:47Z</dcterms:modified>
</cp:coreProperties>
</file>